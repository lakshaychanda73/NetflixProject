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rket_Snapshot" sheetId="2" state="visible" r:id="rId2"/>
    <sheet name="Entry_Model" sheetId="3" state="visible" r:id="rId3"/>
    <sheet name="Workload" sheetId="4" state="visible" r:id="rId4"/>
    <sheet name="Unit_Economics" sheetId="5" state="visible" r:id="rId5"/>
    <sheet name="CRM_Pipeline" sheetId="6" state="visible" r:id="rId6"/>
    <sheet name="Deal_Underwriting" sheetId="7" state="visible" r:id="rId7"/>
    <sheet name="Locality_Scorecard" sheetId="8" state="visible" r:id="rId8"/>
    <sheet name="Data_Health" sheetId="9" state="visible" r:id="rId9"/>
    <sheet name="Roadmap_90_Day" sheetId="10" state="visible" r:id="rId10"/>
    <sheet name="Roadmap_12_Month" sheetId="11" state="visible" r:id="rId11"/>
    <sheet name="Compliance" sheetId="12" state="visible" r:id="rId12"/>
    <sheet name="Risk_Register" sheetId="13" state="visible" r:id="rId13"/>
    <sheet name="Micro_Markets" sheetId="14" state="visible" r:id="rId14"/>
    <sheet name="Infrastructure" sheetId="15" state="visible" r:id="rId15"/>
    <sheet name="Data_Schema" sheetId="16" state="visible" r:id="rId16"/>
    <sheet name="Sources" sheetId="17" state="visible" r:id="rId17"/>
    <sheet name="Corre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5">
    <font>
      <name val="Calibri"/>
      <family val="2"/>
      <color theme="1"/>
      <sz val="11"/>
      <scheme val="minor"/>
    </font>
    <font>
      <name val="Inter"/>
      <b val="1"/>
      <color rgb="FF0B0B0B"/>
      <sz val="16"/>
    </font>
    <font>
      <name val="Inter"/>
      <color rgb="FF52514E"/>
      <sz val="9"/>
    </font>
    <font>
      <name val="Inter"/>
      <b val="1"/>
      <color rgb="FF2A78D6"/>
      <sz val="9.5"/>
    </font>
    <font>
      <name val="Inter"/>
      <b val="1"/>
      <color rgb="FF0B0B0B"/>
      <sz val="9"/>
    </font>
    <font>
      <name val="Inter"/>
      <color rgb="FF52514E"/>
      <sz val="8"/>
    </font>
    <font>
      <name val="Inter"/>
      <b val="1"/>
      <color rgb="FF0B0B0B"/>
      <sz val="14"/>
    </font>
    <font>
      <name val="Inter"/>
      <b val="1"/>
      <color rgb="FFFFFFFF"/>
      <sz val="8.5"/>
    </font>
    <font>
      <name val="Inter"/>
      <color rgb="FF0B0B0B"/>
      <sz val="9"/>
    </font>
    <font>
      <name val="Inter"/>
      <b val="1"/>
      <color rgb="FF2A78D6"/>
      <sz val="8.5"/>
    </font>
    <font>
      <name val="Inter"/>
      <b val="1"/>
      <color rgb="FF2A78D6"/>
      <sz val="9"/>
    </font>
    <font>
      <name val="Inter"/>
      <b val="1"/>
      <color rgb="FF0CA30C"/>
      <sz val="8.5"/>
    </font>
    <font>
      <name val="Inter"/>
      <b val="1"/>
      <color rgb="FF0B0B0B"/>
      <sz val="8.5"/>
    </font>
    <font>
      <name val="Inter"/>
      <color rgb="FF898781"/>
      <sz val="7.5"/>
    </font>
    <font>
      <name val="Inter"/>
      <b val="1"/>
      <color rgb="FF0B0B0B"/>
      <sz val="10"/>
    </font>
  </fonts>
  <fills count="5">
    <fill>
      <patternFill/>
    </fill>
    <fill>
      <patternFill patternType="gray125"/>
    </fill>
    <fill>
      <patternFill patternType="solid">
        <fgColor rgb="FF0E1A2B"/>
      </patternFill>
    </fill>
    <fill>
      <patternFill patternType="solid">
        <fgColor rgb="FFF4F4F1"/>
      </patternFill>
    </fill>
    <fill>
      <patternFill patternType="solid">
        <fgColor rgb="FFF2F6FD"/>
      </patternFill>
    </fill>
  </fills>
  <borders count="2">
    <border>
      <left/>
      <right/>
      <top/>
      <bottom/>
      <diagonal/>
    </border>
    <border>
      <bottom style="thin">
        <color rgb="FFE1E0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4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4" fontId="8" fillId="3" borderId="1" applyAlignment="1" pivotButton="0" quotePrefix="0" xfId="0">
      <alignment vertical="top" wrapText="1"/>
    </xf>
    <xf numFmtId="0" fontId="9" fillId="0" borderId="0" pivotButton="0" quotePrefix="0" xfId="0"/>
    <xf numFmtId="2" fontId="10" fillId="4" borderId="0" pivotButton="0" quotePrefix="0" xfId="0"/>
    <xf numFmtId="2" fontId="4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13" fillId="0" borderId="0" pivotButton="0" quotePrefix="0" xfId="0"/>
    <xf numFmtId="9" fontId="10" fillId="4" borderId="0" pivotButton="0" quotePrefix="0" xfId="0"/>
    <xf numFmtId="3" fontId="10" fillId="4" borderId="0" pivotButton="0" quotePrefix="0" xfId="0"/>
    <xf numFmtId="10" fontId="10" fillId="4" borderId="0" pivotButton="0" quotePrefix="0" xfId="0"/>
    <xf numFmtId="1" fontId="10" fillId="4" borderId="0" pivotButton="0" quotePrefix="0" xfId="0"/>
    <xf numFmtId="9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7" fillId="2" borderId="0" pivotButton="0" quotePrefix="0" xfId="0"/>
    <xf numFmtId="3" fontId="14" fillId="0" borderId="0" pivotButton="0" quotePrefix="0" xfId="0"/>
    <xf numFmtId="3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9" fontId="8" fillId="0" borderId="1" applyAlignment="1" pivotButton="0" quotePrefix="0" xfId="0">
      <alignment vertical="top" wrapText="1"/>
    </xf>
    <xf numFmtId="3" fontId="8" fillId="3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9" fontId="8" fillId="3" borderId="1" applyAlignment="1" pivotButton="0" quotePrefix="0" xfId="0">
      <alignment vertical="top" wrapText="1"/>
    </xf>
    <xf numFmtId="1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0" fontId="8" fillId="3" borderId="1" applyAlignment="1" pivotButton="0" quotePrefix="0" xfId="0">
      <alignment vertical="top" wrapText="1"/>
    </xf>
    <xf numFmtId="165" fontId="8" fillId="3" borderId="1" applyAlignment="1" pivotButton="0" quotePrefix="0" xfId="0">
      <alignment vertical="top" wrapText="1"/>
    </xf>
    <xf numFmtId="1" fontId="8" fillId="0" borderId="1" applyAlignment="1" pivotButton="0" quotePrefix="0" xfId="0">
      <alignment vertical="top" wrapText="1"/>
    </xf>
    <xf numFmtId="1" fontId="8" fillId="3" borderId="1" applyAlignment="1" pivotButton="0" quotePrefix="0" xfId="0">
      <alignment vertical="top" wrapText="1"/>
    </xf>
    <xf numFmtId="2" fontId="8" fillId="0" borderId="1" applyAlignment="1" pivotButton="0" quotePrefix="0" xfId="0">
      <alignment vertical="top" wrapText="1"/>
    </xf>
    <xf numFmtId="2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Inter"/>
        <b val="1"/>
        <color rgb="FFD03B3B"/>
        <sz val="9"/>
      </font>
      <fill>
        <patternFill patternType="solid">
          <fgColor rgb="FFFDEFEF"/>
        </patternFill>
      </fill>
    </dxf>
    <dxf>
      <font>
        <name val="Inter"/>
        <b val="1"/>
        <color rgb="FF8A6100"/>
        <sz val="9"/>
      </font>
      <fill>
        <patternFill patternType="solid">
          <fgColor rgb="FFFDF8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2">
      <c r="B2" s="1" t="inlineStr">
        <is>
          <t>MUMBAI REAL ESTATE OPERATING SYSTEM</t>
        </is>
      </c>
    </row>
    <row r="3" ht="30" customHeight="1">
      <c r="B3" s="2" t="inlineStr">
        <is>
          <t>Version 2.0 · generated 2026-08-14 · supersedes v1.0. Every sheet in this workbook is generated from a single evidence file, so this workbook, the CSV repository and the PDF report cannot disagree with each other.</t>
        </is>
      </c>
    </row>
    <row r="5">
      <c r="B5" s="3" t="inlineStr">
        <is>
          <t>HOW TO USE THIS WORKBOOK</t>
        </is>
      </c>
    </row>
    <row r="6" ht="22" customHeight="1">
      <c r="B6" s="4" t="inlineStr">
        <is>
          <t>Reference sheets</t>
        </is>
      </c>
      <c r="C6" s="5" t="inlineStr">
        <is>
          <t>Market_Snapshot, Sources, Micro_Markets, Infrastructure, Repositories, Compliance, Risk_Register, Data_Schema. Read-only reference — regenerate rather than edit.</t>
        </is>
      </c>
    </row>
    <row r="7" ht="22" customHeight="1">
      <c r="B7" s="4" t="inlineStr">
        <is>
          <t>Model sheets</t>
        </is>
      </c>
      <c r="C7" s="5" t="inlineStr">
        <is>
          <t>Entry_Model, Workload, Unit_Economics. The weights and assumptions are yours to change; the arithmetic updates itself.</t>
        </is>
      </c>
    </row>
    <row r="8" ht="22" customHeight="1">
      <c r="B8" s="4" t="inlineStr">
        <is>
          <t>Working sheets</t>
        </is>
      </c>
      <c r="C8" s="5" t="inlineStr">
        <is>
          <t>CRM_Pipeline, Deal_Underwriting, Locality_Scorecard, Data_Health. These are the ones you fill in daily.</t>
        </is>
      </c>
    </row>
    <row r="9" ht="14" customHeight="1">
      <c r="B9" s="4" t="inlineStr">
        <is>
          <t>Plan sheets</t>
        </is>
      </c>
      <c r="C9" s="5" t="inlineStr">
        <is>
          <t>Roadmap_90_Day, Roadmap_12_Month. Put a date against every gate as it closes.</t>
        </is>
      </c>
    </row>
    <row r="11">
      <c r="B11" s="3" t="inlineStr">
        <is>
          <t>THE FOUR RULES THIS WORKBOOK ENFORCES</t>
        </is>
      </c>
    </row>
    <row r="12" ht="22" customHeight="1">
      <c r="B12" s="4" t="inlineStr">
        <is>
          <t>1 · Provenance</t>
        </is>
      </c>
      <c r="C12" s="5" t="inlineStr">
        <is>
          <t>No fact without source_ref + observed_date + confidence. If you cannot fill those three, you do not have a fact, you have a rumour.</t>
        </is>
      </c>
    </row>
    <row r="13" ht="22" customHeight="1">
      <c r="B13" s="4" t="inlineStr">
        <is>
          <t>2 · Area basis</t>
        </is>
      </c>
      <c r="C13" s="5" t="inlineStr">
        <is>
          <t>Every price declares carpet / built_up / saleable. Never compare across bases — a saleable-area price understates the true rate by 25–35%.</t>
        </is>
      </c>
    </row>
    <row r="14" ht="22" customHeight="1">
      <c r="B14" s="4" t="inlineStr">
        <is>
          <t>3 · Price type</t>
        </is>
      </c>
      <c r="C14" s="5" t="inlineStr">
        <is>
          <t>asking / registered / ready_reckoner / launch are four separate fields. Blending them produces a number describing no transaction that ever happened.</t>
        </is>
      </c>
    </row>
    <row r="15" ht="22" customHeight="1">
      <c r="B15" s="4" t="inlineStr">
        <is>
          <t>4 · Sample size</t>
        </is>
      </c>
      <c r="C15" s="5" t="inlineStr">
        <is>
          <t>Every aggregate shows n. Below the domain minimum, mark it low confidence and say so on the client-facing screen.</t>
        </is>
      </c>
    </row>
    <row r="17">
      <c r="B17" s="3" t="inlineStr">
        <is>
          <t>WHAT CHANGED FROM V1</t>
        </is>
      </c>
    </row>
    <row r="18" ht="14" customHeight="1">
      <c r="B18" s="4" t="inlineStr">
        <is>
          <t>Certificate of Competency</t>
        </is>
      </c>
      <c r="C18" s="5" t="inlineStr">
        <is>
          <t>Mandatory since January 2026 and now the critical path. See the Compliance sheet.</t>
        </is>
      </c>
    </row>
    <row r="19" ht="33" customHeight="1">
      <c r="B19" s="4" t="inlineStr">
        <is>
          <t>Yield mechanics</t>
        </is>
      </c>
      <c r="C19" s="5" t="inlineStr">
        <is>
          <t>The v1 Locality_Scorecard used a 650 sq ft carpet placeholder against a ₹75,000 rent, producing 4.2–5.8% gross yields for Powai. Observed Eastern-corridor yields are 2.5–3.5%. The placeholder is now labelled and inside a plausible band.</t>
        </is>
      </c>
    </row>
    <row r="20" ht="22" customHeight="1">
      <c r="B20" s="4" t="inlineStr">
        <is>
          <t>Entry model</t>
        </is>
      </c>
      <c r="C20" s="5" t="inlineStr">
        <is>
          <t>One weight vector and one score table now drive the workbook, the CSVs and the report. In v1 all three disagreed.</t>
        </is>
      </c>
    </row>
    <row r="21" ht="22" customHeight="1">
      <c r="B21" s="4" t="inlineStr">
        <is>
          <t>Unsold inventory</t>
        </is>
      </c>
      <c r="C21" s="5" t="inlineStr">
        <is>
          <t>v1 recorded it as down 4%. It rose 4% YoY to 525,695 across the top eight markets. Mumbai holds 157,410.</t>
        </is>
      </c>
    </row>
    <row r="22" ht="22" customHeight="1">
      <c r="B22" s="4" t="inlineStr">
        <is>
          <t>New sheets</t>
        </is>
      </c>
      <c r="C22" s="5" t="inlineStr">
        <is>
          <t>Workload, Unit_Economics, Compliance, Risk_Register, Infrastructure, Micro_Markets — none of which existed in v1.</t>
        </is>
      </c>
    </row>
    <row r="24" ht="33" customHeight="1">
      <c r="B24" s="4" t="inlineStr">
        <is>
          <t>DISCLAIMER</t>
        </is>
      </c>
      <c r="C24" s="5" t="inlineStr">
        <is>
          <t>Not legal, tax or investment advice. Confirm every regulatory and tax position with a qualified professional. Every market figure carries a source id and a date — re-verify before relying on it.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4" customWidth="1" min="5" max="5"/>
    <col width="60" customWidth="1" min="6" max="6"/>
  </cols>
  <sheetData>
    <row r="1" ht="22" customHeight="1">
      <c r="A1" s="6" t="inlineStr">
        <is>
          <t>Public market snapshot</t>
        </is>
      </c>
    </row>
    <row r="2" ht="30" customHeight="1">
      <c r="A2" s="7" t="inlineStr">
        <is>
          <t>Verified figures as at 14 August 2026. Every row carries its source id, the date it applies to and a confidence grade. These are published statistics, not estimates.</t>
        </is>
      </c>
    </row>
    <row r="4" ht="26" customHeight="1">
      <c r="A4" s="8" t="inlineStr">
        <is>
          <t>Metric</t>
        </is>
      </c>
      <c r="B4" s="8" t="inlineStr">
        <is>
          <t>Value</t>
        </is>
      </c>
      <c r="C4" s="8" t="inlineStr">
        <is>
          <t>Unit</t>
        </is>
      </c>
      <c r="D4" s="8" t="inlineStr">
        <is>
          <t>Source</t>
        </is>
      </c>
      <c r="E4" s="8" t="inlineStr">
        <is>
          <t>Observed</t>
        </is>
      </c>
      <c r="F4" s="8" t="inlineStr">
        <is>
          <t>Note</t>
        </is>
      </c>
    </row>
    <row r="5">
      <c r="A5" s="9" t="inlineStr">
        <is>
          <t>Sales H1 2026</t>
        </is>
      </c>
      <c r="B5" s="10" t="n">
        <v>47355</v>
      </c>
      <c r="C5" s="9" t="inlineStr">
        <is>
          <t>units</t>
        </is>
      </c>
      <c r="D5" s="9" t="inlineStr">
        <is>
          <t>SRC-004</t>
        </is>
      </c>
      <c r="E5" s="9" t="inlineStr">
        <is>
          <t>2026-06-30</t>
        </is>
      </c>
      <c r="F5" s="9" t="inlineStr">
        <is>
          <t>+1% YoY</t>
        </is>
      </c>
    </row>
    <row r="6">
      <c r="A6" s="11" t="inlineStr">
        <is>
          <t>Launches H1 2026</t>
        </is>
      </c>
      <c r="B6" s="12" t="n">
        <v>49161</v>
      </c>
      <c r="C6" s="11" t="inlineStr">
        <is>
          <t>units</t>
        </is>
      </c>
      <c r="D6" s="11" t="inlineStr">
        <is>
          <t>SRC-004</t>
        </is>
      </c>
      <c r="E6" s="11" t="inlineStr">
        <is>
          <t>2026-06-30</t>
        </is>
      </c>
      <c r="F6" s="11" t="inlineStr">
        <is>
          <t>+8% YoY</t>
        </is>
      </c>
    </row>
    <row r="7">
      <c r="A7" s="9" t="inlineStr">
        <is>
          <t>Unsold H1 2026</t>
        </is>
      </c>
      <c r="B7" s="10" t="n">
        <v>157410</v>
      </c>
      <c r="C7" s="9" t="inlineStr">
        <is>
          <t>units</t>
        </is>
      </c>
      <c r="D7" s="9" t="inlineStr">
        <is>
          <t>SRC-004</t>
        </is>
      </c>
      <c r="E7" s="9" t="inlineStr">
        <is>
          <t>2026-06-30</t>
        </is>
      </c>
      <c r="F7" s="9" t="inlineStr">
        <is>
          <t>largest unsold pool in India</t>
        </is>
      </c>
    </row>
    <row r="8">
      <c r="A8" s="11" t="inlineStr">
        <is>
          <t>Qts H1 2026</t>
        </is>
      </c>
      <c r="B8" s="12" t="n">
        <v>6.5</v>
      </c>
      <c r="C8" s="11" t="inlineStr">
        <is>
          <t>quarters</t>
        </is>
      </c>
      <c r="D8" s="11" t="inlineStr">
        <is>
          <t>SRC-004</t>
        </is>
      </c>
      <c r="E8" s="11" t="inlineStr">
        <is>
          <t>2026-06-30</t>
        </is>
      </c>
      <c r="F8" s="11" t="inlineStr">
        <is>
          <t>quarters-to-sell at current velocity</t>
        </is>
      </c>
    </row>
    <row r="9">
      <c r="A9" s="9" t="inlineStr">
        <is>
          <t>Age Inventory H1 2026</t>
        </is>
      </c>
      <c r="B9" s="10" t="n">
        <v>13.5</v>
      </c>
      <c r="C9" s="9" t="inlineStr">
        <is>
          <t>quarters</t>
        </is>
      </c>
      <c r="D9" s="9" t="inlineStr">
        <is>
          <t>SRC-004</t>
        </is>
      </c>
      <c r="E9" s="9" t="inlineStr">
        <is>
          <t>2026-06-30</t>
        </is>
      </c>
      <c r="F9" s="9" t="inlineStr">
        <is>
          <t>improved from 14.3 in H1 2025</t>
        </is>
      </c>
    </row>
    <row r="10">
      <c r="A10" s="11" t="inlineStr">
        <is>
          <t>Avg Price Psf</t>
        </is>
      </c>
      <c r="B10" s="12" t="n">
        <v>36881</v>
      </c>
      <c r="C10" s="11" t="inlineStr">
        <is>
          <t>Rs/sqft</t>
        </is>
      </c>
      <c r="D10" s="11" t="inlineStr">
        <is>
          <t>SRC-004</t>
        </is>
      </c>
      <c r="E10" s="11" t="inlineStr">
        <is>
          <t>2026-06-30</t>
        </is>
      </c>
      <c r="F10" s="11" t="inlineStr">
        <is>
          <t>most expensive market in India; basis per KF methodology</t>
        </is>
      </c>
    </row>
    <row r="11">
      <c r="A11" s="9" t="inlineStr">
        <is>
          <t>Registrations H1 2026</t>
        </is>
      </c>
      <c r="B11" s="10" t="n">
        <v>80221</v>
      </c>
      <c r="C11" s="9" t="inlineStr">
        <is>
          <t>registrations</t>
        </is>
      </c>
      <c r="D11" s="9" t="inlineStr">
        <is>
          <t>SRC-005</t>
        </is>
      </c>
      <c r="E11" s="9" t="inlineStr">
        <is>
          <t>2026-06-30</t>
        </is>
      </c>
      <c r="F11" s="9" t="inlineStr">
        <is>
          <t>+6% YoY, best H1 since 2013</t>
        </is>
      </c>
    </row>
    <row r="12">
      <c r="A12" s="11" t="inlineStr">
        <is>
          <t>Stampduty H1 2026</t>
        </is>
      </c>
      <c r="B12" s="12" t="n">
        <v>6968</v>
      </c>
      <c r="C12" s="11" t="inlineStr">
        <is>
          <t>Rs crore</t>
        </is>
      </c>
      <c r="D12" s="11" t="inlineStr">
        <is>
          <t>SRC-005</t>
        </is>
      </c>
      <c r="E12" s="11" t="inlineStr">
        <is>
          <t>2026-06-30</t>
        </is>
      </c>
      <c r="F12" s="11" t="inlineStr">
        <is>
          <t>BMC Mumbai jurisdiction</t>
        </is>
      </c>
    </row>
    <row r="13">
      <c r="A13" s="9" t="inlineStr">
        <is>
          <t>Registrations Jul 2026</t>
        </is>
      </c>
      <c r="B13" s="10" t="n">
        <v>13617</v>
      </c>
      <c r="C13" s="9" t="inlineStr">
        <is>
          <t>registrations</t>
        </is>
      </c>
      <c r="D13" s="9" t="inlineStr">
        <is>
          <t>SRC-006</t>
        </is>
      </c>
      <c r="E13" s="9" t="inlineStr">
        <is>
          <t>2026-07-31</t>
        </is>
      </c>
      <c r="F13" s="9" t="inlineStr">
        <is>
          <t>+8.3% YoY; highest July in 14 years</t>
        </is>
      </c>
    </row>
    <row r="14">
      <c r="A14" s="11" t="inlineStr">
        <is>
          <t>Stampduty Jul 2026</t>
        </is>
      </c>
      <c r="B14" s="12" t="n">
        <v>1223</v>
      </c>
      <c r="C14" s="11" t="inlineStr">
        <is>
          <t>Rs crore</t>
        </is>
      </c>
      <c r="D14" s="11" t="inlineStr">
        <is>
          <t>SRC-006</t>
        </is>
      </c>
      <c r="E14" s="11" t="inlineStr">
        <is>
          <t>2026-07-31</t>
        </is>
      </c>
      <c r="F14" s="11" t="inlineStr">
        <is>
          <t>+8.9% YoY</t>
        </is>
      </c>
    </row>
    <row r="15">
      <c r="A15" s="9" t="inlineStr">
        <is>
          <t>Share Above 1Cr</t>
        </is>
      </c>
      <c r="B15" s="10" t="n">
        <v>54</v>
      </c>
      <c r="C15" s="9" t="inlineStr">
        <is>
          <t>% of sales</t>
        </is>
      </c>
      <c r="D15" s="9" t="inlineStr">
        <is>
          <t>SRC-032</t>
        </is>
      </c>
      <c r="E15" s="9" t="inlineStr">
        <is>
          <t>2026-06-30</t>
        </is>
      </c>
      <c r="F15" s="9" t="inlineStr">
        <is>
          <t>up from 49% in H1 2025</t>
        </is>
      </c>
    </row>
    <row r="16">
      <c r="A16" s="11" t="inlineStr">
        <is>
          <t>Share Upto 1000Sqft</t>
        </is>
      </c>
      <c r="B16" s="12" t="n">
        <v>81</v>
      </c>
      <c r="C16" s="11" t="inlineStr">
        <is>
          <t>% of registrations</t>
        </is>
      </c>
      <c r="D16" s="11" t="inlineStr">
        <is>
          <t>SRC-033</t>
        </is>
      </c>
      <c r="E16" s="11" t="inlineStr">
        <is>
          <t>2026-02-28</t>
        </is>
      </c>
      <c r="F16" s="11" t="inlineStr">
        <is>
          <t>500–1,000 sqft band = 45%</t>
        </is>
      </c>
    </row>
    <row r="17">
      <c r="A17" s="9" t="inlineStr">
        <is>
          <t>Repo Rate</t>
        </is>
      </c>
      <c r="B17" s="10" t="n">
        <v>5.25</v>
      </c>
      <c r="C17" s="9" t="inlineStr">
        <is>
          <t>%</t>
        </is>
      </c>
      <c r="D17" s="9" t="inlineStr">
        <is>
          <t>SRC-022</t>
        </is>
      </c>
      <c r="E17" s="9" t="inlineStr">
        <is>
          <t>2026-06-30</t>
        </is>
      </c>
      <c r="F17" s="9" t="inlineStr">
        <is>
          <t>unchanged since 5 Dec 2025</t>
        </is>
      </c>
    </row>
    <row r="18">
      <c r="A18" s="11" t="inlineStr">
        <is>
          <t>Home Loan Typical</t>
        </is>
      </c>
      <c r="B18" s="12" t="inlineStr">
        <is>
          <t>7.65–8.50</t>
        </is>
      </c>
      <c r="C18" s="11" t="inlineStr">
        <is>
          <t>%</t>
        </is>
      </c>
      <c r="D18" s="11" t="inlineStr">
        <is>
          <t>SRC-022</t>
        </is>
      </c>
      <c r="E18" s="11" t="inlineStr">
        <is>
          <t>2026-06-30</t>
        </is>
      </c>
      <c r="F18" s="11" t="inlineStr">
        <is>
          <t>best rates from ~7.10%</t>
        </is>
      </c>
    </row>
    <row r="19">
      <c r="A19" s="9" t="inlineStr">
        <is>
          <t>Registered Agents Mh</t>
        </is>
      </c>
      <c r="B19" s="10" t="n">
        <v>42865</v>
      </c>
      <c r="C19" s="9" t="inlineStr">
        <is>
          <t>agents</t>
        </is>
      </c>
      <c r="D19" s="9" t="inlineStr">
        <is>
          <t>SRC-025</t>
        </is>
      </c>
      <c r="E19" s="9" t="inlineStr">
        <is>
          <t>2026-03-31</t>
        </is>
      </c>
      <c r="F19" s="9" t="inlineStr">
        <is>
          <t>Maharashtra-wide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" t="inlineStr">
        <is>
          <t>Market entry priority model</t>
        </is>
      </c>
    </row>
    <row r="2" ht="30" customHeight="1">
      <c r="A2" s="7" t="inlineStr">
        <is>
          <t>ANALYST MODEL — NOT A MARKET STATISTIC. Change the weights in row 4 to encode a different strategy; the scores and ranks recalculate. Weights must sum to 1.00 (checked in K4).</t>
        </is>
      </c>
    </row>
    <row r="4">
      <c r="A4" s="13" t="inlineStr">
        <is>
          <t>WEIGHTS →</t>
        </is>
      </c>
      <c r="B4" s="14" t="n">
        <v>0.2</v>
      </c>
      <c r="C4" s="14" t="n">
        <v>0.16</v>
      </c>
      <c r="D4" s="14" t="n">
        <v>0.14</v>
      </c>
      <c r="E4" s="14" t="n">
        <v>0.12</v>
      </c>
      <c r="F4" s="14" t="n">
        <v>0.12</v>
      </c>
      <c r="G4" s="14" t="n">
        <v>0.12</v>
      </c>
      <c r="H4" s="14" t="n">
        <v>0.14</v>
      </c>
      <c r="I4" s="15">
        <f>SUM(B4:H4)</f>
        <v/>
      </c>
      <c r="J4" s="16">
        <f>IF(ABS(SUM(B4:H4)-1)&lt;0.001,"weights OK","WEIGHTS MUST SUM TO 1.00")</f>
        <v/>
      </c>
    </row>
    <row r="5" ht="30" customHeight="1">
      <c r="A5" s="8" t="inlineStr">
        <is>
          <t>Region</t>
        </is>
      </c>
      <c r="B5" s="8" t="inlineStr">
        <is>
          <t>Transaction depth</t>
        </is>
      </c>
      <c r="C5" s="8" t="inlineStr">
        <is>
          <t>Infrastructure catalyst</t>
        </is>
      </c>
      <c r="D5" s="8" t="inlineStr">
        <is>
          <t>Entry cost (inverse)</t>
        </is>
      </c>
      <c r="E5" s="8" t="inlineStr">
        <is>
          <t>Data accessibility</t>
        </is>
      </c>
      <c r="F5" s="8" t="inlineStr">
        <is>
          <t>Rental depth</t>
        </is>
      </c>
      <c r="G5" s="8" t="inlineStr">
        <is>
          <t>Competitive whitespace</t>
        </is>
      </c>
      <c r="H5" s="8" t="inlineStr">
        <is>
          <t>Execution simplicity</t>
        </is>
      </c>
      <c r="I5" s="8" t="inlineStr">
        <is>
          <t>Weighted score</t>
        </is>
      </c>
      <c r="J5" s="8" t="inlineStr">
        <is>
          <t>Rank</t>
        </is>
      </c>
    </row>
    <row r="6">
      <c r="A6" s="17" t="inlineStr">
        <is>
          <t>Eastern/Central Suburbs</t>
        </is>
      </c>
      <c r="B6" s="18" t="n">
        <v>8</v>
      </c>
      <c r="C6" s="18" t="n">
        <v>8</v>
      </c>
      <c r="D6" s="18" t="n">
        <v>7</v>
      </c>
      <c r="E6" s="18" t="n">
        <v>8</v>
      </c>
      <c r="F6" s="18" t="n">
        <v>8</v>
      </c>
      <c r="G6" s="18" t="n">
        <v>8</v>
      </c>
      <c r="H6" s="18" t="n">
        <v>9</v>
      </c>
      <c r="I6" s="15">
        <f>SUMPRODUCT(B6:H6,$B$4:$H$4)</f>
        <v/>
      </c>
      <c r="J6" s="19">
        <f>RANK(I6,$I$6:$I$11)</f>
        <v/>
      </c>
    </row>
    <row r="7">
      <c r="A7" s="17" t="inlineStr">
        <is>
          <t>Thane–Ghodbunder</t>
        </is>
      </c>
      <c r="B7" s="18" t="n">
        <v>7</v>
      </c>
      <c r="C7" s="18" t="n">
        <v>8</v>
      </c>
      <c r="D7" s="18" t="n">
        <v>9</v>
      </c>
      <c r="E7" s="18" t="n">
        <v>7</v>
      </c>
      <c r="F7" s="18" t="n">
        <v>8</v>
      </c>
      <c r="G7" s="18" t="n">
        <v>8</v>
      </c>
      <c r="H7" s="18" t="n">
        <v>7</v>
      </c>
      <c r="I7" s="15">
        <f>SUMPRODUCT(B7:H7,$B$4:$H$4)</f>
        <v/>
      </c>
      <c r="J7" s="19">
        <f>RANK(I7,$I$6:$I$11)</f>
        <v/>
      </c>
    </row>
    <row r="8">
      <c r="A8" s="17" t="inlineStr">
        <is>
          <t>Navi Mumbai</t>
        </is>
      </c>
      <c r="B8" s="18" t="n">
        <v>7</v>
      </c>
      <c r="C8" s="18" t="n">
        <v>10</v>
      </c>
      <c r="D8" s="18" t="n">
        <v>8</v>
      </c>
      <c r="E8" s="18" t="n">
        <v>7</v>
      </c>
      <c r="F8" s="18" t="n">
        <v>7</v>
      </c>
      <c r="G8" s="18" t="n">
        <v>7</v>
      </c>
      <c r="H8" s="18" t="n">
        <v>6</v>
      </c>
      <c r="I8" s="15">
        <f>SUMPRODUCT(B8:H8,$B$4:$H$4)</f>
        <v/>
      </c>
      <c r="J8" s="19">
        <f>RANK(I8,$I$6:$I$11)</f>
        <v/>
      </c>
    </row>
    <row r="9">
      <c r="A9" s="17" t="inlineStr">
        <is>
          <t>Western Suburbs</t>
        </is>
      </c>
      <c r="B9" s="18" t="n">
        <v>10</v>
      </c>
      <c r="C9" s="18" t="n">
        <v>8</v>
      </c>
      <c r="D9" s="18" t="n">
        <v>5</v>
      </c>
      <c r="E9" s="18" t="n">
        <v>8</v>
      </c>
      <c r="F9" s="18" t="n">
        <v>9</v>
      </c>
      <c r="G9" s="18" t="n">
        <v>4</v>
      </c>
      <c r="H9" s="18" t="n">
        <v>7</v>
      </c>
      <c r="I9" s="15">
        <f>SUMPRODUCT(B9:H9,$B$4:$H$4)</f>
        <v/>
      </c>
      <c r="J9" s="19">
        <f>RANK(I9,$I$6:$I$11)</f>
        <v/>
      </c>
    </row>
    <row r="10">
      <c r="A10" s="17" t="inlineStr">
        <is>
          <t>Harbour/Eastern Waterfront</t>
        </is>
      </c>
      <c r="B10" s="18" t="n">
        <v>6</v>
      </c>
      <c r="C10" s="18" t="n">
        <v>8</v>
      </c>
      <c r="D10" s="18" t="n">
        <v>6</v>
      </c>
      <c r="E10" s="18" t="n">
        <v>6</v>
      </c>
      <c r="F10" s="18" t="n">
        <v>6</v>
      </c>
      <c r="G10" s="18" t="n">
        <v>7</v>
      </c>
      <c r="H10" s="18" t="n">
        <v>6</v>
      </c>
      <c r="I10" s="15">
        <f>SUMPRODUCT(B10:H10,$B$4:$H$4)</f>
        <v/>
      </c>
      <c r="J10" s="19">
        <f>RANK(I10,$I$6:$I$11)</f>
        <v/>
      </c>
    </row>
    <row r="11">
      <c r="A11" s="17" t="inlineStr">
        <is>
          <t>South Mumbai</t>
        </is>
      </c>
      <c r="B11" s="18" t="n">
        <v>4</v>
      </c>
      <c r="C11" s="18" t="n">
        <v>6</v>
      </c>
      <c r="D11" s="18" t="n">
        <v>2</v>
      </c>
      <c r="E11" s="18" t="n">
        <v>8</v>
      </c>
      <c r="F11" s="18" t="n">
        <v>7</v>
      </c>
      <c r="G11" s="18" t="n">
        <v>3</v>
      </c>
      <c r="H11" s="18" t="n">
        <v>4</v>
      </c>
      <c r="I11" s="15">
        <f>SUMPRODUCT(B11:H11,$B$4:$H$4)</f>
        <v/>
      </c>
      <c r="J11" s="19">
        <f>RANK(I11,$I$6:$I$11)</f>
        <v/>
      </c>
    </row>
    <row r="13">
      <c r="A13" s="3" t="inlineStr">
        <is>
          <t>Criterion rationale</t>
        </is>
      </c>
    </row>
    <row r="14">
      <c r="A14" s="20" t="inlineStr">
        <is>
          <t>Transaction depth</t>
        </is>
      </c>
      <c r="B14" s="21" t="inlineStr">
        <is>
          <t>Registered transaction volume the corridor actually produces</t>
        </is>
      </c>
    </row>
    <row r="15">
      <c r="A15" s="20" t="inlineStr">
        <is>
          <t>Infrastructure catalyst</t>
        </is>
      </c>
      <c r="B15" s="21" t="inlineStr">
        <is>
          <t>Operational-weighted, not announcement-weighted</t>
        </is>
      </c>
    </row>
    <row r="16">
      <c r="A16" s="20" t="inlineStr">
        <is>
          <t>Entry cost (inverse)</t>
        </is>
      </c>
      <c r="B16" s="21" t="inlineStr">
        <is>
          <t>Lower ticket = faster first closure, lower client risk</t>
        </is>
      </c>
    </row>
    <row r="17">
      <c r="A17" s="20" t="inlineStr">
        <is>
          <t>Data accessibility</t>
        </is>
      </c>
      <c r="B17" s="21" t="inlineStr">
        <is>
          <t>RERA/IGR coverage and pocket-level observability</t>
        </is>
      </c>
    </row>
    <row r="18">
      <c r="A18" s="20" t="inlineStr">
        <is>
          <t>Rental depth</t>
        </is>
      </c>
      <c r="B18" s="21" t="inlineStr">
        <is>
          <t>Second revenue line and lead nursery</t>
        </is>
      </c>
    </row>
    <row r="19">
      <c r="A19" s="20" t="inlineStr">
        <is>
          <t>Competitive whitespace</t>
        </is>
      </c>
      <c r="B19" s="21" t="inlineStr">
        <is>
          <t>Advisory-grade competitors per pocket</t>
        </is>
      </c>
    </row>
    <row r="20">
      <c r="A20" s="20" t="inlineStr">
        <is>
          <t>Execution simplicity</t>
        </is>
      </c>
      <c r="B20" s="21" t="inlineStr">
        <is>
          <t>Founder travel time, site access, broker reachability</t>
        </is>
      </c>
    </row>
  </sheetData>
  <mergeCells count="8">
    <mergeCell ref="B18:I18"/>
    <mergeCell ref="B15:I15"/>
    <mergeCell ref="B16:I16"/>
    <mergeCell ref="B20:I20"/>
    <mergeCell ref="B19:I19"/>
    <mergeCell ref="B14:I14"/>
    <mergeCell ref="A2:J2"/>
    <mergeCell ref="B17:I17"/>
  </mergeCells>
  <conditionalFormatting sqref="B6:H11">
    <cfRule type="colorScale" priority="1">
      <colorScale>
        <cfvo type="num" val="1"/>
        <cfvo type="num" val="10"/>
        <color rgb="FFCDE2FB"/>
        <color rgb="FF2A78D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1" customWidth="1" min="15" max="15"/>
  </cols>
  <sheetData>
    <row r="1" ht="22" customHeight="1">
      <c r="A1" s="6" t="inlineStr">
        <is>
          <t>Year-1 hour budget</t>
        </is>
      </c>
    </row>
    <row r="2" ht="30" customHeight="1">
      <c r="A2" s="7" t="inlineStr">
        <is>
          <t>One founder, 55 hours a week, 52 weeks. This is a BUDGET, not a description — its purpose is to be violated visibly. Any week after month 5 with zero deal-execution hours is a week the plan has failed.</t>
        </is>
      </c>
    </row>
    <row r="4" ht="26" customHeight="1">
      <c r="A4" s="8" t="inlineStr">
        <is>
          <t>Workstream</t>
        </is>
      </c>
      <c r="B4" s="8" t="inlineStr">
        <is>
          <t>What it covers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Hrs/wk total</t>
        </is>
      </c>
    </row>
    <row r="5">
      <c r="A5" s="9" t="inlineStr">
        <is>
          <t>Compliance &amp; admin</t>
        </is>
      </c>
      <c r="B5" s="9" t="inlineStr">
        <is>
          <t>Registration, certification, filings, bookkeeping, KYC</t>
        </is>
      </c>
      <c r="C5" s="9" t="n">
        <v>14</v>
      </c>
      <c r="D5" s="9" t="n">
        <v>10</v>
      </c>
      <c r="E5" s="9" t="n">
        <v>5</v>
      </c>
      <c r="F5" s="9" t="n">
        <v>4</v>
      </c>
      <c r="G5" s="9" t="n">
        <v>4</v>
      </c>
      <c r="H5" s="9" t="n">
        <v>5</v>
      </c>
      <c r="I5" s="9" t="n">
        <v>4</v>
      </c>
      <c r="J5" s="9" t="n">
        <v>4</v>
      </c>
      <c r="K5" s="9" t="n">
        <v>5</v>
      </c>
      <c r="L5" s="9" t="n">
        <v>4</v>
      </c>
      <c r="M5" s="9" t="n">
        <v>4</v>
      </c>
      <c r="N5" s="9" t="n">
        <v>6</v>
      </c>
      <c r="O5" s="9" t="n">
        <v>69</v>
      </c>
    </row>
    <row r="6">
      <c r="A6" s="11" t="inlineStr">
        <is>
          <t>Desk research</t>
        </is>
      </c>
      <c r="B6" s="11" t="inlineStr">
        <is>
          <t>RERA, IGR, RR, developer filings, infrastructure records</t>
        </is>
      </c>
      <c r="C6" s="11" t="n">
        <v>18</v>
      </c>
      <c r="D6" s="11" t="n">
        <v>20</v>
      </c>
      <c r="E6" s="11" t="n">
        <v>20</v>
      </c>
      <c r="F6" s="11" t="n">
        <v>16</v>
      </c>
      <c r="G6" s="11" t="n">
        <v>13</v>
      </c>
      <c r="H6" s="11" t="n">
        <v>11</v>
      </c>
      <c r="I6" s="11" t="n">
        <v>10</v>
      </c>
      <c r="J6" s="11" t="n">
        <v>10</v>
      </c>
      <c r="K6" s="11" t="n">
        <v>10</v>
      </c>
      <c r="L6" s="11" t="n">
        <v>12</v>
      </c>
      <c r="M6" s="11" t="n">
        <v>12</v>
      </c>
      <c r="N6" s="11" t="n">
        <v>10</v>
      </c>
      <c r="O6" s="11" t="n">
        <v>162</v>
      </c>
    </row>
    <row r="7">
      <c r="A7" s="9" t="inlineStr">
        <is>
          <t>Field intelligence</t>
        </is>
      </c>
      <c r="B7" s="9" t="inlineStr">
        <is>
          <t>Site visits, broker network, commute audits, society rules</t>
        </is>
      </c>
      <c r="C7" s="9" t="n">
        <v>2</v>
      </c>
      <c r="D7" s="9" t="n">
        <v>8</v>
      </c>
      <c r="E7" s="9" t="n">
        <v>14</v>
      </c>
      <c r="F7" s="9" t="n">
        <v>14</v>
      </c>
      <c r="G7" s="9" t="n">
        <v>13</v>
      </c>
      <c r="H7" s="9" t="n">
        <v>11</v>
      </c>
      <c r="I7" s="9" t="n">
        <v>10</v>
      </c>
      <c r="J7" s="9" t="n">
        <v>9</v>
      </c>
      <c r="K7" s="9" t="n">
        <v>9</v>
      </c>
      <c r="L7" s="9" t="n">
        <v>10</v>
      </c>
      <c r="M7" s="9" t="n">
        <v>10</v>
      </c>
      <c r="N7" s="9" t="n">
        <v>8</v>
      </c>
      <c r="O7" s="9" t="n">
        <v>118</v>
      </c>
    </row>
    <row r="8">
      <c r="A8" s="11" t="inlineStr">
        <is>
          <t>Demand generation</t>
        </is>
      </c>
      <c r="B8" s="11" t="inlineStr">
        <is>
          <t>Referrals, briefs, content, channel partnerships</t>
        </is>
      </c>
      <c r="C8" s="11" t="n">
        <v>2</v>
      </c>
      <c r="D8" s="11" t="n">
        <v>5</v>
      </c>
      <c r="E8" s="11" t="n">
        <v>8</v>
      </c>
      <c r="F8" s="11" t="n">
        <v>11</v>
      </c>
      <c r="G8" s="11" t="n">
        <v>12</v>
      </c>
      <c r="H8" s="11" t="n">
        <v>12</v>
      </c>
      <c r="I8" s="11" t="n">
        <v>12</v>
      </c>
      <c r="J8" s="11" t="n">
        <v>12</v>
      </c>
      <c r="K8" s="11" t="n">
        <v>11</v>
      </c>
      <c r="L8" s="11" t="n">
        <v>11</v>
      </c>
      <c r="M8" s="11" t="n">
        <v>11</v>
      </c>
      <c r="N8" s="11" t="n">
        <v>11</v>
      </c>
      <c r="O8" s="11" t="n">
        <v>118</v>
      </c>
    </row>
    <row r="9">
      <c r="A9" s="9" t="inlineStr">
        <is>
          <t>Deal execution</t>
        </is>
      </c>
      <c r="B9" s="9" t="inlineStr">
        <is>
          <t>Client fit, shortlist, visits, negotiation, documentation</t>
        </is>
      </c>
      <c r="C9" s="9" t="n">
        <v>0</v>
      </c>
      <c r="D9" s="9" t="n">
        <v>0</v>
      </c>
      <c r="E9" s="9" t="n">
        <v>2</v>
      </c>
      <c r="F9" s="9" t="n">
        <v>5</v>
      </c>
      <c r="G9" s="9" t="n">
        <v>9</v>
      </c>
      <c r="H9" s="9" t="n">
        <v>12</v>
      </c>
      <c r="I9" s="9" t="n">
        <v>15</v>
      </c>
      <c r="J9" s="9" t="n">
        <v>16</v>
      </c>
      <c r="K9" s="9" t="n">
        <v>16</v>
      </c>
      <c r="L9" s="9" t="n">
        <v>14</v>
      </c>
      <c r="M9" s="9" t="n">
        <v>14</v>
      </c>
      <c r="N9" s="9" t="n">
        <v>15</v>
      </c>
      <c r="O9" s="9" t="n">
        <v>118</v>
      </c>
    </row>
    <row r="10">
      <c r="A10" s="11" t="inlineStr">
        <is>
          <t>System &amp; tooling</t>
        </is>
      </c>
      <c r="B10" s="11" t="inlineStr">
        <is>
          <t>Schema, workbook, CRM, calculators, data health</t>
        </is>
      </c>
      <c r="C10" s="11" t="n">
        <v>19</v>
      </c>
      <c r="D10" s="11" t="n">
        <v>12</v>
      </c>
      <c r="E10" s="11" t="n">
        <v>6</v>
      </c>
      <c r="F10" s="11" t="n">
        <v>5</v>
      </c>
      <c r="G10" s="11" t="n">
        <v>4</v>
      </c>
      <c r="H10" s="11" t="n">
        <v>4</v>
      </c>
      <c r="I10" s="11" t="n">
        <v>4</v>
      </c>
      <c r="J10" s="11" t="n">
        <v>4</v>
      </c>
      <c r="K10" s="11" t="n">
        <v>4</v>
      </c>
      <c r="L10" s="11" t="n">
        <v>4</v>
      </c>
      <c r="M10" s="11" t="n">
        <v>4</v>
      </c>
      <c r="N10" s="11" t="n">
        <v>5</v>
      </c>
      <c r="O10" s="11" t="n">
        <v>75</v>
      </c>
    </row>
    <row r="11">
      <c r="A11" s="4" t="inlineStr">
        <is>
          <t>TOTAL</t>
        </is>
      </c>
      <c r="C11" s="22">
        <f>SUM(C5:C10)</f>
        <v/>
      </c>
      <c r="D11" s="22">
        <f>SUM(D5:D10)</f>
        <v/>
      </c>
      <c r="E11" s="22">
        <f>SUM(E5:E10)</f>
        <v/>
      </c>
      <c r="F11" s="22">
        <f>SUM(F5:F10)</f>
        <v/>
      </c>
      <c r="G11" s="22">
        <f>SUM(G5:G10)</f>
        <v/>
      </c>
      <c r="H11" s="22">
        <f>SUM(H5:H10)</f>
        <v/>
      </c>
      <c r="I11" s="22">
        <f>SUM(I5:I10)</f>
        <v/>
      </c>
      <c r="J11" s="22">
        <f>SUM(J5:J10)</f>
        <v/>
      </c>
      <c r="K11" s="22">
        <f>SUM(K5:K10)</f>
        <v/>
      </c>
      <c r="L11" s="22">
        <f>SUM(L5:L10)</f>
        <v/>
      </c>
      <c r="M11" s="22">
        <f>SUM(M5:M10)</f>
        <v/>
      </c>
      <c r="N11" s="22">
        <f>SUM(N5:N10)</f>
        <v/>
      </c>
      <c r="O11" s="4">
        <f>SUM(C11:N11)</f>
        <v/>
      </c>
    </row>
    <row r="13">
      <c r="A13" s="23" t="inlineStr">
        <is>
          <t>Capacity is 55 h/week. Any month total above that turns red — it means the plan does not fit inside a week and something must be cut, deliberately, now.</t>
        </is>
      </c>
    </row>
  </sheetData>
  <mergeCells count="2">
    <mergeCell ref="A13:L13"/>
    <mergeCell ref="A2:O2"/>
  </mergeCells>
  <conditionalFormatting sqref="C11:N11">
    <cfRule type="cellIs" priority="1" operator="greaterThan" dxfId="0">
      <formula>55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16" customWidth="1" min="5" max="5"/>
    <col width="52" customWidth="1" min="6" max="6"/>
  </cols>
  <sheetData>
    <row r="1">
      <c r="A1" s="6" t="inlineStr">
        <is>
          <t>Unit economics and capital requirement</t>
        </is>
      </c>
    </row>
    <row r="2" ht="28" customHeight="1">
      <c r="A2" s="7" t="inlineStr">
        <is>
          <t>ILLUSTRATIVE PLANNING MODEL. Change the blue input cells; everything else recalculates. Replace every assumption here with your own observations after 30–50 qualified leads.</t>
        </is>
      </c>
    </row>
    <row r="4">
      <c r="A4" s="3" t="inlineStr">
        <is>
          <t>SEGMENT MIX  (blue cells are inputs)</t>
        </is>
      </c>
    </row>
    <row r="5">
      <c r="A5" s="8" t="inlineStr">
        <is>
          <t>Segment</t>
        </is>
      </c>
      <c r="B5" s="8" t="inlineStr">
        <is>
          <t>Share</t>
        </is>
      </c>
      <c r="C5" s="8" t="inlineStr">
        <is>
          <t>Avg consideration ₹</t>
        </is>
      </c>
      <c r="D5" s="8" t="inlineStr">
        <is>
          <t>Commission %</t>
        </is>
      </c>
      <c r="E5" s="8" t="inlineStr">
        <is>
          <t>Payout lag (days)</t>
        </is>
      </c>
      <c r="F5" s="8" t="inlineStr">
        <is>
          <t>Note</t>
        </is>
      </c>
    </row>
    <row r="6">
      <c r="A6" s="17" t="inlineStr">
        <is>
          <t>Resale — Eastern corridor 2BHK</t>
        </is>
      </c>
      <c r="B6" s="24" t="n">
        <v>0.4</v>
      </c>
      <c r="C6" s="25" t="n">
        <v>22000000</v>
      </c>
      <c r="D6" s="26" t="n">
        <v>0.01</v>
      </c>
      <c r="E6" s="27" t="n">
        <v>25</v>
      </c>
    </row>
    <row r="7">
      <c r="A7" s="17" t="inlineStr">
        <is>
          <t>Resale — Eastern corridor 3BHK</t>
        </is>
      </c>
      <c r="B7" s="24" t="n">
        <v>0.2</v>
      </c>
      <c r="C7" s="25" t="n">
        <v>38000000</v>
      </c>
      <c r="D7" s="26" t="n">
        <v>0.01</v>
      </c>
      <c r="E7" s="27" t="n">
        <v>25</v>
      </c>
    </row>
    <row r="8">
      <c r="A8" s="17" t="inlineStr">
        <is>
          <t>Primary — channel partner</t>
        </is>
      </c>
      <c r="B8" s="24" t="n">
        <v>0.25</v>
      </c>
      <c r="C8" s="25" t="n">
        <v>26000000</v>
      </c>
      <c r="D8" s="26" t="n">
        <v>0.02</v>
      </c>
      <c r="E8" s="27" t="n">
        <v>75</v>
      </c>
    </row>
    <row r="9">
      <c r="A9" s="17" t="inlineStr">
        <is>
          <t>Rental — residential</t>
        </is>
      </c>
      <c r="B9" s="24" t="n">
        <v>0.15</v>
      </c>
      <c r="C9" s="25" t="n">
        <v>900000</v>
      </c>
      <c r="D9" s="26" t="n">
        <v>0.08</v>
      </c>
      <c r="E9" s="27" t="n">
        <v>15</v>
      </c>
    </row>
    <row r="10">
      <c r="A10" s="4" t="inlineStr">
        <is>
          <t>Blended</t>
        </is>
      </c>
      <c r="B10" s="28">
        <f>SUM(B6:B9)</f>
        <v/>
      </c>
      <c r="C10" s="29">
        <f>SUMPRODUCT(B6:B9,C6:C9)</f>
        <v/>
      </c>
      <c r="D10" s="30">
        <f>SUMPRODUCT(B6:B9,C6:C9,D6:D9)/C10</f>
        <v/>
      </c>
    </row>
    <row r="12">
      <c r="A12" s="3" t="inlineStr">
        <is>
          <t>COST BASE</t>
        </is>
      </c>
    </row>
    <row r="13">
      <c r="A13" s="31" t="inlineStr">
        <is>
          <t>Line item</t>
        </is>
      </c>
      <c r="B13" s="31" t="inlineStr">
        <is>
          <t>One-off ₹</t>
        </is>
      </c>
      <c r="C13" s="31" t="inlineStr">
        <is>
          <t>Monthly ₹</t>
        </is>
      </c>
      <c r="D13" s="31" t="inlineStr"/>
      <c r="E13" s="31" t="inlineStr"/>
      <c r="F13" s="31" t="inlineStr">
        <is>
          <t>Note</t>
        </is>
      </c>
    </row>
    <row r="14">
      <c r="A14" s="17" t="inlineStr">
        <is>
          <t>MahaRERA agent registration (individual)</t>
        </is>
      </c>
      <c r="B14" s="25" t="n">
        <v>10000</v>
      </c>
      <c r="C14" s="25" t="n">
        <v>0</v>
      </c>
      <c r="F14" s="23" t="inlineStr">
        <is>
          <t>SRC-002 / SRC-003</t>
        </is>
      </c>
    </row>
    <row r="15">
      <c r="A15" s="17" t="inlineStr">
        <is>
          <t>Certificate of Competency — training + exam</t>
        </is>
      </c>
      <c r="B15" s="25" t="n">
        <v>9000</v>
      </c>
      <c r="C15" s="25" t="n">
        <v>0</v>
      </c>
      <c r="F15" s="23" t="inlineStr">
        <is>
          <t>20-hr programme + exam, mid of Rs 6.5k–9.8k range</t>
        </is>
      </c>
    </row>
    <row r="16">
      <c r="A16" s="17" t="inlineStr">
        <is>
          <t>Entity, PAN/TAN, GST, CA onboarding</t>
        </is>
      </c>
      <c r="B16" s="25" t="n">
        <v>18000</v>
      </c>
      <c r="C16" s="25" t="n">
        <v>0</v>
      </c>
      <c r="F16" s="23" t="inlineStr">
        <is>
          <t>proprietorship or LLP; SRC-031</t>
        </is>
      </c>
    </row>
    <row r="17">
      <c r="A17" s="17" t="inlineStr">
        <is>
          <t>Professional indemnity + basic insurance</t>
        </is>
      </c>
      <c r="B17" s="25" t="n">
        <v>12000</v>
      </c>
      <c r="C17" s="25" t="n">
        <v>0</v>
      </c>
      <c r="F17" s="23" t="inlineStr">
        <is>
          <t>optional but recommended</t>
        </is>
      </c>
    </row>
    <row r="18">
      <c r="A18" s="17" t="inlineStr">
        <is>
          <t>Accounting &amp; compliance retainer</t>
        </is>
      </c>
      <c r="B18" s="25" t="n">
        <v>0</v>
      </c>
      <c r="C18" s="25" t="n">
        <v>4000</v>
      </c>
      <c r="F18" s="23" t="inlineStr">
        <is>
          <t>CA retainer, GST + TDS filings</t>
        </is>
      </c>
    </row>
    <row r="19">
      <c r="A19" s="17" t="inlineStr">
        <is>
          <t>Data &amp; subscriptions</t>
        </is>
      </c>
      <c r="B19" s="25" t="n">
        <v>0</v>
      </c>
      <c r="C19" s="25" t="n">
        <v>6000</v>
      </c>
      <c r="F19" s="23" t="inlineStr">
        <is>
          <t>portal listings, records, mapping</t>
        </is>
      </c>
    </row>
    <row r="20">
      <c r="A20" s="17" t="inlineStr">
        <is>
          <t>Field research &amp; travel</t>
        </is>
      </c>
      <c r="B20" s="25" t="n">
        <v>0</v>
      </c>
      <c r="C20" s="25" t="n">
        <v>12000</v>
      </c>
      <c r="F20" s="23" t="inlineStr">
        <is>
          <t>site visits, commute audits, broker meetings</t>
        </is>
      </c>
    </row>
    <row r="21">
      <c r="A21" s="17" t="inlineStr">
        <is>
          <t>Marketing &amp; content</t>
        </is>
      </c>
      <c r="B21" s="25" t="n">
        <v>0</v>
      </c>
      <c r="C21" s="25" t="n">
        <v>8000</v>
      </c>
      <c r="F21" s="23" t="inlineStr">
        <is>
          <t>briefs, search content, collateral</t>
        </is>
      </c>
    </row>
    <row r="22">
      <c r="A22" s="17" t="inlineStr">
        <is>
          <t>Phone, internet, tools, CRM</t>
        </is>
      </c>
      <c r="B22" s="25" t="n">
        <v>0</v>
      </c>
      <c r="C22" s="25" t="n">
        <v>5000</v>
      </c>
      <c r="F22" s="23" t="inlineStr">
        <is>
          <t>workbook-first, minimal SaaS</t>
        </is>
      </c>
    </row>
    <row r="23">
      <c r="A23" s="17" t="inlineStr">
        <is>
          <t>Founder drawings (living)</t>
        </is>
      </c>
      <c r="B23" s="25" t="n">
        <v>0</v>
      </c>
      <c r="C23" s="25" t="n">
        <v>60000</v>
      </c>
      <c r="F23" s="23" t="inlineStr">
        <is>
          <t>set to personal minimum; the true runway driver</t>
        </is>
      </c>
    </row>
    <row r="24">
      <c r="A24" s="4" t="inlineStr">
        <is>
          <t>TOTAL</t>
        </is>
      </c>
      <c r="B24" s="29">
        <f>SUM(B14:B23)</f>
        <v/>
      </c>
      <c r="C24" s="29">
        <f>SUM(C14:C23)</f>
        <v/>
      </c>
    </row>
    <row r="26">
      <c r="A26" s="3" t="inlineStr">
        <is>
          <t>YEAR-1 OUTCOME</t>
        </is>
      </c>
    </row>
    <row r="27">
      <c r="A27" s="17" t="inlineStr">
        <is>
          <t>Closures in Year 1</t>
        </is>
      </c>
      <c r="B27" s="25" t="n">
        <v>15</v>
      </c>
    </row>
    <row r="28">
      <c r="A28" s="17" t="inlineStr">
        <is>
          <t>Gross commission ₹</t>
        </is>
      </c>
      <c r="B28" s="32">
        <f>B27*C10*D10</f>
        <v/>
      </c>
    </row>
    <row r="29">
      <c r="A29" s="17" t="inlineStr">
        <is>
          <t>Operating cost ₹ (excl. drawings)</t>
        </is>
      </c>
      <c r="B29" s="32">
        <f>(C24-C23)*12</f>
        <v/>
      </c>
    </row>
    <row r="30">
      <c r="A30" s="17" t="inlineStr">
        <is>
          <t>One-off setup ₹</t>
        </is>
      </c>
      <c r="B30" s="32">
        <f>B24</f>
        <v/>
      </c>
    </row>
    <row r="31">
      <c r="A31" s="17" t="inlineStr">
        <is>
          <t>Business profit ₹</t>
        </is>
      </c>
      <c r="B31" s="32">
        <f>B28-B29-B30</f>
        <v/>
      </c>
    </row>
    <row r="32">
      <c r="A32" s="17" t="inlineStr">
        <is>
          <t>Founder hours in Year 1</t>
        </is>
      </c>
      <c r="B32" s="25" t="n">
        <v>2860</v>
      </c>
    </row>
    <row r="33">
      <c r="A33" s="17" t="inlineStr">
        <is>
          <t>Profit per founder hour ₹</t>
        </is>
      </c>
      <c r="B33" s="32">
        <f>B31/B32</f>
        <v/>
      </c>
    </row>
    <row r="35" ht="26" customHeight="1">
      <c r="A35" s="23" t="inlineStr">
        <is>
          <t>Income tax is NOT modelled here — it depends on entity, regime and other income. Take the business-profit figure to a CA. GST at 18% is an output tax collected from the client, and TDS at 2% under 194H is withheld on receipt and creditable; neither is a cost.</t>
        </is>
      </c>
    </row>
  </sheetData>
  <mergeCells count="2">
    <mergeCell ref="A2:F2"/>
    <mergeCell ref="A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5" customWidth="1" min="4" max="4"/>
    <col width="24" customWidth="1" min="5" max="5"/>
    <col width="8" customWidth="1" min="6" max="6"/>
    <col width="13" customWidth="1" min="7" max="7"/>
    <col width="30" customWidth="1" min="8" max="8"/>
    <col width="13" customWidth="1" min="9" max="9"/>
    <col width="10" customWidth="1" min="10" max="10"/>
    <col width="16" customWidth="1" min="11" max="11"/>
    <col width="16" customWidth="1" min="12" max="12"/>
    <col width="24" customWidth="1" min="13" max="13"/>
    <col width="30" customWidth="1" min="14" max="14"/>
  </cols>
  <sheetData>
    <row r="1" ht="22" customHeight="1">
      <c r="A1" s="6" t="inlineStr">
        <is>
          <t>CRM pipeline</t>
        </is>
      </c>
    </row>
    <row r="2" ht="30" customHeight="1">
      <c r="A2" s="7" t="inlineStr">
        <is>
          <t>One row per deal. Every live lead must carry a next action and a date. lost_reason is mandatory on anything marked lost — a blank lost_reason is a lesson thrown away.</t>
        </is>
      </c>
    </row>
    <row r="4" ht="26" customHeight="1">
      <c r="A4" s="8" t="inlineStr">
        <is>
          <t>Deal_ID</t>
        </is>
      </c>
      <c r="B4" s="8" t="inlineStr">
        <is>
          <t>Client_ID</t>
        </is>
      </c>
      <c r="C4" s="8" t="inlineStr">
        <is>
          <t>Lead_source</t>
        </is>
      </c>
      <c r="D4" s="8" t="inlineStr">
        <is>
          <t>Budget ₹</t>
        </is>
      </c>
      <c r="E4" s="8" t="inlineStr">
        <is>
          <t>Preferred pockets</t>
        </is>
      </c>
      <c r="F4" s="8" t="inlineStr">
        <is>
          <t>BHK</t>
        </is>
      </c>
      <c r="G4" s="8" t="inlineStr">
        <is>
          <t>Stage</t>
        </is>
      </c>
      <c r="H4" s="8" t="inlineStr">
        <is>
          <t>Next action</t>
        </is>
      </c>
      <c r="I4" s="8" t="inlineStr">
        <is>
          <t>Next date</t>
        </is>
      </c>
      <c r="J4" s="8" t="inlineStr">
        <is>
          <t>Prob %</t>
        </is>
      </c>
      <c r="K4" s="8" t="inlineStr">
        <is>
          <t>Expected comm ₹</t>
        </is>
      </c>
      <c r="L4" s="8" t="inlineStr">
        <is>
          <t>Weighted comm ₹</t>
        </is>
      </c>
      <c r="M4" s="8" t="inlineStr">
        <is>
          <t>Lost reason</t>
        </is>
      </c>
      <c r="N4" s="8" t="inlineStr">
        <is>
          <t>Notes</t>
        </is>
      </c>
    </row>
    <row r="5">
      <c r="A5" s="9" t="n"/>
      <c r="B5" s="9" t="n"/>
      <c r="C5" s="9" t="n"/>
      <c r="D5" s="33" t="n"/>
      <c r="E5" s="9" t="n"/>
      <c r="F5" s="9" t="n"/>
      <c r="G5" s="9" t="n"/>
      <c r="H5" s="9" t="n"/>
      <c r="I5" s="34" t="n"/>
      <c r="J5" s="35" t="n"/>
      <c r="K5" s="33" t="n"/>
      <c r="L5" s="33">
        <f>IF(AND(ISNUMBER(K5),ISNUMBER(J5)),K5*J5,"")</f>
        <v/>
      </c>
      <c r="M5" s="9" t="n"/>
      <c r="N5" s="9" t="n"/>
    </row>
    <row r="6">
      <c r="A6" s="11" t="n"/>
      <c r="B6" s="11" t="n"/>
      <c r="C6" s="11" t="n"/>
      <c r="D6" s="36" t="n"/>
      <c r="E6" s="11" t="n"/>
      <c r="F6" s="11" t="n"/>
      <c r="G6" s="11" t="n"/>
      <c r="H6" s="11" t="n"/>
      <c r="I6" s="37" t="n"/>
      <c r="J6" s="38" t="n"/>
      <c r="K6" s="36" t="n"/>
      <c r="L6" s="36">
        <f>IF(AND(ISNUMBER(K6),ISNUMBER(J6)),K6*J6,"")</f>
        <v/>
      </c>
      <c r="M6" s="11" t="n"/>
      <c r="N6" s="11" t="n"/>
    </row>
    <row r="7">
      <c r="A7" s="9" t="n"/>
      <c r="B7" s="9" t="n"/>
      <c r="C7" s="9" t="n"/>
      <c r="D7" s="33" t="n"/>
      <c r="E7" s="9" t="n"/>
      <c r="F7" s="9" t="n"/>
      <c r="G7" s="9" t="n"/>
      <c r="H7" s="9" t="n"/>
      <c r="I7" s="34" t="n"/>
      <c r="J7" s="35" t="n"/>
      <c r="K7" s="33" t="n"/>
      <c r="L7" s="33">
        <f>IF(AND(ISNUMBER(K7),ISNUMBER(J7)),K7*J7,"")</f>
        <v/>
      </c>
      <c r="M7" s="9" t="n"/>
      <c r="N7" s="9" t="n"/>
    </row>
    <row r="8">
      <c r="A8" s="11" t="n"/>
      <c r="B8" s="11" t="n"/>
      <c r="C8" s="11" t="n"/>
      <c r="D8" s="36" t="n"/>
      <c r="E8" s="11" t="n"/>
      <c r="F8" s="11" t="n"/>
      <c r="G8" s="11" t="n"/>
      <c r="H8" s="11" t="n"/>
      <c r="I8" s="37" t="n"/>
      <c r="J8" s="38" t="n"/>
      <c r="K8" s="36" t="n"/>
      <c r="L8" s="36">
        <f>IF(AND(ISNUMBER(K8),ISNUMBER(J8)),K8*J8,"")</f>
        <v/>
      </c>
      <c r="M8" s="11" t="n"/>
      <c r="N8" s="11" t="n"/>
    </row>
    <row r="9">
      <c r="A9" s="9" t="n"/>
      <c r="B9" s="9" t="n"/>
      <c r="C9" s="9" t="n"/>
      <c r="D9" s="33" t="n"/>
      <c r="E9" s="9" t="n"/>
      <c r="F9" s="9" t="n"/>
      <c r="G9" s="9" t="n"/>
      <c r="H9" s="9" t="n"/>
      <c r="I9" s="34" t="n"/>
      <c r="J9" s="35" t="n"/>
      <c r="K9" s="33" t="n"/>
      <c r="L9" s="33">
        <f>IF(AND(ISNUMBER(K9),ISNUMBER(J9)),K9*J9,"")</f>
        <v/>
      </c>
      <c r="M9" s="9" t="n"/>
      <c r="N9" s="9" t="n"/>
    </row>
    <row r="10">
      <c r="A10" s="11" t="n"/>
      <c r="B10" s="11" t="n"/>
      <c r="C10" s="11" t="n"/>
      <c r="D10" s="36" t="n"/>
      <c r="E10" s="11" t="n"/>
      <c r="F10" s="11" t="n"/>
      <c r="G10" s="11" t="n"/>
      <c r="H10" s="11" t="n"/>
      <c r="I10" s="37" t="n"/>
      <c r="J10" s="38" t="n"/>
      <c r="K10" s="36" t="n"/>
      <c r="L10" s="36">
        <f>IF(AND(ISNUMBER(K10),ISNUMBER(J10)),K10*J10,"")</f>
        <v/>
      </c>
      <c r="M10" s="11" t="n"/>
      <c r="N10" s="11" t="n"/>
    </row>
    <row r="11">
      <c r="A11" s="9" t="n"/>
      <c r="B11" s="9" t="n"/>
      <c r="C11" s="9" t="n"/>
      <c r="D11" s="33" t="n"/>
      <c r="E11" s="9" t="n"/>
      <c r="F11" s="9" t="n"/>
      <c r="G11" s="9" t="n"/>
      <c r="H11" s="9" t="n"/>
      <c r="I11" s="34" t="n"/>
      <c r="J11" s="35" t="n"/>
      <c r="K11" s="33" t="n"/>
      <c r="L11" s="33">
        <f>IF(AND(ISNUMBER(K11),ISNUMBER(J11)),K11*J11,"")</f>
        <v/>
      </c>
      <c r="M11" s="9" t="n"/>
      <c r="N11" s="9" t="n"/>
    </row>
    <row r="12">
      <c r="A12" s="11" t="n"/>
      <c r="B12" s="11" t="n"/>
      <c r="C12" s="11" t="n"/>
      <c r="D12" s="36" t="n"/>
      <c r="E12" s="11" t="n"/>
      <c r="F12" s="11" t="n"/>
      <c r="G12" s="11" t="n"/>
      <c r="H12" s="11" t="n"/>
      <c r="I12" s="37" t="n"/>
      <c r="J12" s="38" t="n"/>
      <c r="K12" s="36" t="n"/>
      <c r="L12" s="36">
        <f>IF(AND(ISNUMBER(K12),ISNUMBER(J12)),K12*J12,"")</f>
        <v/>
      </c>
      <c r="M12" s="11" t="n"/>
      <c r="N12" s="11" t="n"/>
    </row>
    <row r="13">
      <c r="A13" s="9" t="n"/>
      <c r="B13" s="9" t="n"/>
      <c r="C13" s="9" t="n"/>
      <c r="D13" s="33" t="n"/>
      <c r="E13" s="9" t="n"/>
      <c r="F13" s="9" t="n"/>
      <c r="G13" s="9" t="n"/>
      <c r="H13" s="9" t="n"/>
      <c r="I13" s="34" t="n"/>
      <c r="J13" s="35" t="n"/>
      <c r="K13" s="33" t="n"/>
      <c r="L13" s="33">
        <f>IF(AND(ISNUMBER(K13),ISNUMBER(J13)),K13*J13,"")</f>
        <v/>
      </c>
      <c r="M13" s="9" t="n"/>
      <c r="N13" s="9" t="n"/>
    </row>
    <row r="14">
      <c r="A14" s="11" t="n"/>
      <c r="B14" s="11" t="n"/>
      <c r="C14" s="11" t="n"/>
      <c r="D14" s="36" t="n"/>
      <c r="E14" s="11" t="n"/>
      <c r="F14" s="11" t="n"/>
      <c r="G14" s="11" t="n"/>
      <c r="H14" s="11" t="n"/>
      <c r="I14" s="37" t="n"/>
      <c r="J14" s="38" t="n"/>
      <c r="K14" s="36" t="n"/>
      <c r="L14" s="36">
        <f>IF(AND(ISNUMBER(K14),ISNUMBER(J14)),K14*J14,"")</f>
        <v/>
      </c>
      <c r="M14" s="11" t="n"/>
      <c r="N14" s="11" t="n"/>
    </row>
    <row r="15">
      <c r="A15" s="9" t="n"/>
      <c r="B15" s="9" t="n"/>
      <c r="C15" s="9" t="n"/>
      <c r="D15" s="33" t="n"/>
      <c r="E15" s="9" t="n"/>
      <c r="F15" s="9" t="n"/>
      <c r="G15" s="9" t="n"/>
      <c r="H15" s="9" t="n"/>
      <c r="I15" s="34" t="n"/>
      <c r="J15" s="35" t="n"/>
      <c r="K15" s="33" t="n"/>
      <c r="L15" s="33">
        <f>IF(AND(ISNUMBER(K15),ISNUMBER(J15)),K15*J15,"")</f>
        <v/>
      </c>
      <c r="M15" s="9" t="n"/>
      <c r="N15" s="9" t="n"/>
    </row>
    <row r="16">
      <c r="A16" s="11" t="n"/>
      <c r="B16" s="11" t="n"/>
      <c r="C16" s="11" t="n"/>
      <c r="D16" s="36" t="n"/>
      <c r="E16" s="11" t="n"/>
      <c r="F16" s="11" t="n"/>
      <c r="G16" s="11" t="n"/>
      <c r="H16" s="11" t="n"/>
      <c r="I16" s="37" t="n"/>
      <c r="J16" s="38" t="n"/>
      <c r="K16" s="36" t="n"/>
      <c r="L16" s="36">
        <f>IF(AND(ISNUMBER(K16),ISNUMBER(J16)),K16*J16,"")</f>
        <v/>
      </c>
      <c r="M16" s="11" t="n"/>
      <c r="N16" s="11" t="n"/>
    </row>
    <row r="17">
      <c r="A17" s="9" t="n"/>
      <c r="B17" s="9" t="n"/>
      <c r="C17" s="9" t="n"/>
      <c r="D17" s="33" t="n"/>
      <c r="E17" s="9" t="n"/>
      <c r="F17" s="9" t="n"/>
      <c r="G17" s="9" t="n"/>
      <c r="H17" s="9" t="n"/>
      <c r="I17" s="34" t="n"/>
      <c r="J17" s="35" t="n"/>
      <c r="K17" s="33" t="n"/>
      <c r="L17" s="33">
        <f>IF(AND(ISNUMBER(K17),ISNUMBER(J17)),K17*J17,"")</f>
        <v/>
      </c>
      <c r="M17" s="9" t="n"/>
      <c r="N17" s="9" t="n"/>
    </row>
    <row r="18">
      <c r="A18" s="11" t="n"/>
      <c r="B18" s="11" t="n"/>
      <c r="C18" s="11" t="n"/>
      <c r="D18" s="36" t="n"/>
      <c r="E18" s="11" t="n"/>
      <c r="F18" s="11" t="n"/>
      <c r="G18" s="11" t="n"/>
      <c r="H18" s="11" t="n"/>
      <c r="I18" s="37" t="n"/>
      <c r="J18" s="38" t="n"/>
      <c r="K18" s="36" t="n"/>
      <c r="L18" s="36">
        <f>IF(AND(ISNUMBER(K18),ISNUMBER(J18)),K18*J18,"")</f>
        <v/>
      </c>
      <c r="M18" s="11" t="n"/>
      <c r="N18" s="11" t="n"/>
    </row>
    <row r="19">
      <c r="A19" s="9" t="n"/>
      <c r="B19" s="9" t="n"/>
      <c r="C19" s="9" t="n"/>
      <c r="D19" s="33" t="n"/>
      <c r="E19" s="9" t="n"/>
      <c r="F19" s="9" t="n"/>
      <c r="G19" s="9" t="n"/>
      <c r="H19" s="9" t="n"/>
      <c r="I19" s="34" t="n"/>
      <c r="J19" s="35" t="n"/>
      <c r="K19" s="33" t="n"/>
      <c r="L19" s="33">
        <f>IF(AND(ISNUMBER(K19),ISNUMBER(J19)),K19*J19,"")</f>
        <v/>
      </c>
      <c r="M19" s="9" t="n"/>
      <c r="N19" s="9" t="n"/>
    </row>
    <row r="20">
      <c r="A20" s="11" t="n"/>
      <c r="B20" s="11" t="n"/>
      <c r="C20" s="11" t="n"/>
      <c r="D20" s="36" t="n"/>
      <c r="E20" s="11" t="n"/>
      <c r="F20" s="11" t="n"/>
      <c r="G20" s="11" t="n"/>
      <c r="H20" s="11" t="n"/>
      <c r="I20" s="37" t="n"/>
      <c r="J20" s="38" t="n"/>
      <c r="K20" s="36" t="n"/>
      <c r="L20" s="36">
        <f>IF(AND(ISNUMBER(K20),ISNUMBER(J20)),K20*J20,"")</f>
        <v/>
      </c>
      <c r="M20" s="11" t="n"/>
      <c r="N20" s="11" t="n"/>
    </row>
    <row r="21">
      <c r="A21" s="9" t="n"/>
      <c r="B21" s="9" t="n"/>
      <c r="C21" s="9" t="n"/>
      <c r="D21" s="33" t="n"/>
      <c r="E21" s="9" t="n"/>
      <c r="F21" s="9" t="n"/>
      <c r="G21" s="9" t="n"/>
      <c r="H21" s="9" t="n"/>
      <c r="I21" s="34" t="n"/>
      <c r="J21" s="35" t="n"/>
      <c r="K21" s="33" t="n"/>
      <c r="L21" s="33">
        <f>IF(AND(ISNUMBER(K21),ISNUMBER(J21)),K21*J21,"")</f>
        <v/>
      </c>
      <c r="M21" s="9" t="n"/>
      <c r="N21" s="9" t="n"/>
    </row>
    <row r="22">
      <c r="A22" s="11" t="n"/>
      <c r="B22" s="11" t="n"/>
      <c r="C22" s="11" t="n"/>
      <c r="D22" s="36" t="n"/>
      <c r="E22" s="11" t="n"/>
      <c r="F22" s="11" t="n"/>
      <c r="G22" s="11" t="n"/>
      <c r="H22" s="11" t="n"/>
      <c r="I22" s="37" t="n"/>
      <c r="J22" s="38" t="n"/>
      <c r="K22" s="36" t="n"/>
      <c r="L22" s="36">
        <f>IF(AND(ISNUMBER(K22),ISNUMBER(J22)),K22*J22,"")</f>
        <v/>
      </c>
      <c r="M22" s="11" t="n"/>
      <c r="N22" s="11" t="n"/>
    </row>
    <row r="23">
      <c r="A23" s="9" t="n"/>
      <c r="B23" s="9" t="n"/>
      <c r="C23" s="9" t="n"/>
      <c r="D23" s="33" t="n"/>
      <c r="E23" s="9" t="n"/>
      <c r="F23" s="9" t="n"/>
      <c r="G23" s="9" t="n"/>
      <c r="H23" s="9" t="n"/>
      <c r="I23" s="34" t="n"/>
      <c r="J23" s="35" t="n"/>
      <c r="K23" s="33" t="n"/>
      <c r="L23" s="33">
        <f>IF(AND(ISNUMBER(K23),ISNUMBER(J23)),K23*J23,"")</f>
        <v/>
      </c>
      <c r="M23" s="9" t="n"/>
      <c r="N23" s="9" t="n"/>
    </row>
    <row r="24">
      <c r="A24" s="11" t="n"/>
      <c r="B24" s="11" t="n"/>
      <c r="C24" s="11" t="n"/>
      <c r="D24" s="36" t="n"/>
      <c r="E24" s="11" t="n"/>
      <c r="F24" s="11" t="n"/>
      <c r="G24" s="11" t="n"/>
      <c r="H24" s="11" t="n"/>
      <c r="I24" s="37" t="n"/>
      <c r="J24" s="38" t="n"/>
      <c r="K24" s="36" t="n"/>
      <c r="L24" s="36">
        <f>IF(AND(ISNUMBER(K24),ISNUMBER(J24)),K24*J24,"")</f>
        <v/>
      </c>
      <c r="M24" s="11" t="n"/>
      <c r="N24" s="11" t="n"/>
    </row>
    <row r="25">
      <c r="A25" s="9" t="n"/>
      <c r="B25" s="9" t="n"/>
      <c r="C25" s="9" t="n"/>
      <c r="D25" s="33" t="n"/>
      <c r="E25" s="9" t="n"/>
      <c r="F25" s="9" t="n"/>
      <c r="G25" s="9" t="n"/>
      <c r="H25" s="9" t="n"/>
      <c r="I25" s="34" t="n"/>
      <c r="J25" s="35" t="n"/>
      <c r="K25" s="33" t="n"/>
      <c r="L25" s="33">
        <f>IF(AND(ISNUMBER(K25),ISNUMBER(J25)),K25*J25,"")</f>
        <v/>
      </c>
      <c r="M25" s="9" t="n"/>
      <c r="N25" s="9" t="n"/>
    </row>
    <row r="26">
      <c r="A26" s="11" t="n"/>
      <c r="B26" s="11" t="n"/>
      <c r="C26" s="11" t="n"/>
      <c r="D26" s="36" t="n"/>
      <c r="E26" s="11" t="n"/>
      <c r="F26" s="11" t="n"/>
      <c r="G26" s="11" t="n"/>
      <c r="H26" s="11" t="n"/>
      <c r="I26" s="37" t="n"/>
      <c r="J26" s="38" t="n"/>
      <c r="K26" s="36" t="n"/>
      <c r="L26" s="36">
        <f>IF(AND(ISNUMBER(K26),ISNUMBER(J26)),K26*J26,"")</f>
        <v/>
      </c>
      <c r="M26" s="11" t="n"/>
      <c r="N26" s="11" t="n"/>
    </row>
    <row r="27">
      <c r="A27" s="9" t="n"/>
      <c r="B27" s="9" t="n"/>
      <c r="C27" s="9" t="n"/>
      <c r="D27" s="33" t="n"/>
      <c r="E27" s="9" t="n"/>
      <c r="F27" s="9" t="n"/>
      <c r="G27" s="9" t="n"/>
      <c r="H27" s="9" t="n"/>
      <c r="I27" s="34" t="n"/>
      <c r="J27" s="35" t="n"/>
      <c r="K27" s="33" t="n"/>
      <c r="L27" s="33">
        <f>IF(AND(ISNUMBER(K27),ISNUMBER(J27)),K27*J27,"")</f>
        <v/>
      </c>
      <c r="M27" s="9" t="n"/>
      <c r="N27" s="9" t="n"/>
    </row>
    <row r="28">
      <c r="A28" s="11" t="n"/>
      <c r="B28" s="11" t="n"/>
      <c r="C28" s="11" t="n"/>
      <c r="D28" s="36" t="n"/>
      <c r="E28" s="11" t="n"/>
      <c r="F28" s="11" t="n"/>
      <c r="G28" s="11" t="n"/>
      <c r="H28" s="11" t="n"/>
      <c r="I28" s="37" t="n"/>
      <c r="J28" s="38" t="n"/>
      <c r="K28" s="36" t="n"/>
      <c r="L28" s="36">
        <f>IF(AND(ISNUMBER(K28),ISNUMBER(J28)),K28*J28,"")</f>
        <v/>
      </c>
      <c r="M28" s="11" t="n"/>
      <c r="N28" s="11" t="n"/>
    </row>
    <row r="29">
      <c r="A29" s="9" t="n"/>
      <c r="B29" s="9" t="n"/>
      <c r="C29" s="9" t="n"/>
      <c r="D29" s="33" t="n"/>
      <c r="E29" s="9" t="n"/>
      <c r="F29" s="9" t="n"/>
      <c r="G29" s="9" t="n"/>
      <c r="H29" s="9" t="n"/>
      <c r="I29" s="34" t="n"/>
      <c r="J29" s="35" t="n"/>
      <c r="K29" s="33" t="n"/>
      <c r="L29" s="33">
        <f>IF(AND(ISNUMBER(K29),ISNUMBER(J29)),K29*J29,"")</f>
        <v/>
      </c>
      <c r="M29" s="9" t="n"/>
      <c r="N29" s="9" t="n"/>
    </row>
    <row r="30">
      <c r="A30" s="11" t="n"/>
      <c r="B30" s="11" t="n"/>
      <c r="C30" s="11" t="n"/>
      <c r="D30" s="36" t="n"/>
      <c r="E30" s="11" t="n"/>
      <c r="F30" s="11" t="n"/>
      <c r="G30" s="11" t="n"/>
      <c r="H30" s="11" t="n"/>
      <c r="I30" s="37" t="n"/>
      <c r="J30" s="38" t="n"/>
      <c r="K30" s="36" t="n"/>
      <c r="L30" s="36">
        <f>IF(AND(ISNUMBER(K30),ISNUMBER(J30)),K30*J30,"")</f>
        <v/>
      </c>
      <c r="M30" s="11" t="n"/>
      <c r="N30" s="11" t="n"/>
    </row>
    <row r="31">
      <c r="A31" s="9" t="n"/>
      <c r="B31" s="9" t="n"/>
      <c r="C31" s="9" t="n"/>
      <c r="D31" s="33" t="n"/>
      <c r="E31" s="9" t="n"/>
      <c r="F31" s="9" t="n"/>
      <c r="G31" s="9" t="n"/>
      <c r="H31" s="9" t="n"/>
      <c r="I31" s="34" t="n"/>
      <c r="J31" s="35" t="n"/>
      <c r="K31" s="33" t="n"/>
      <c r="L31" s="33">
        <f>IF(AND(ISNUMBER(K31),ISNUMBER(J31)),K31*J31,"")</f>
        <v/>
      </c>
      <c r="M31" s="9" t="n"/>
      <c r="N31" s="9" t="n"/>
    </row>
    <row r="32">
      <c r="A32" s="11" t="n"/>
      <c r="B32" s="11" t="n"/>
      <c r="C32" s="11" t="n"/>
      <c r="D32" s="36" t="n"/>
      <c r="E32" s="11" t="n"/>
      <c r="F32" s="11" t="n"/>
      <c r="G32" s="11" t="n"/>
      <c r="H32" s="11" t="n"/>
      <c r="I32" s="37" t="n"/>
      <c r="J32" s="38" t="n"/>
      <c r="K32" s="36" t="n"/>
      <c r="L32" s="36">
        <f>IF(AND(ISNUMBER(K32),ISNUMBER(J32)),K32*J32,"")</f>
        <v/>
      </c>
      <c r="M32" s="11" t="n"/>
      <c r="N32" s="11" t="n"/>
    </row>
    <row r="33">
      <c r="A33" s="9" t="n"/>
      <c r="B33" s="9" t="n"/>
      <c r="C33" s="9" t="n"/>
      <c r="D33" s="33" t="n"/>
      <c r="E33" s="9" t="n"/>
      <c r="F33" s="9" t="n"/>
      <c r="G33" s="9" t="n"/>
      <c r="H33" s="9" t="n"/>
      <c r="I33" s="34" t="n"/>
      <c r="J33" s="35" t="n"/>
      <c r="K33" s="33" t="n"/>
      <c r="L33" s="33">
        <f>IF(AND(ISNUMBER(K33),ISNUMBER(J33)),K33*J33,"")</f>
        <v/>
      </c>
      <c r="M33" s="9" t="n"/>
      <c r="N33" s="9" t="n"/>
    </row>
    <row r="34">
      <c r="A34" s="11" t="n"/>
      <c r="B34" s="11" t="n"/>
      <c r="C34" s="11" t="n"/>
      <c r="D34" s="36" t="n"/>
      <c r="E34" s="11" t="n"/>
      <c r="F34" s="11" t="n"/>
      <c r="G34" s="11" t="n"/>
      <c r="H34" s="11" t="n"/>
      <c r="I34" s="37" t="n"/>
      <c r="J34" s="38" t="n"/>
      <c r="K34" s="36" t="n"/>
      <c r="L34" s="36">
        <f>IF(AND(ISNUMBER(K34),ISNUMBER(J34)),K34*J34,"")</f>
        <v/>
      </c>
      <c r="M34" s="11" t="n"/>
      <c r="N34" s="11" t="n"/>
    </row>
    <row r="35">
      <c r="A35" s="9" t="n"/>
      <c r="B35" s="9" t="n"/>
      <c r="C35" s="9" t="n"/>
      <c r="D35" s="33" t="n"/>
      <c r="E35" s="9" t="n"/>
      <c r="F35" s="9" t="n"/>
      <c r="G35" s="9" t="n"/>
      <c r="H35" s="9" t="n"/>
      <c r="I35" s="34" t="n"/>
      <c r="J35" s="35" t="n"/>
      <c r="K35" s="33" t="n"/>
      <c r="L35" s="33">
        <f>IF(AND(ISNUMBER(K35),ISNUMBER(J35)),K35*J35,"")</f>
        <v/>
      </c>
      <c r="M35" s="9" t="n"/>
      <c r="N35" s="9" t="n"/>
    </row>
    <row r="36">
      <c r="A36" s="11" t="n"/>
      <c r="B36" s="11" t="n"/>
      <c r="C36" s="11" t="n"/>
      <c r="D36" s="36" t="n"/>
      <c r="E36" s="11" t="n"/>
      <c r="F36" s="11" t="n"/>
      <c r="G36" s="11" t="n"/>
      <c r="H36" s="11" t="n"/>
      <c r="I36" s="37" t="n"/>
      <c r="J36" s="38" t="n"/>
      <c r="K36" s="36" t="n"/>
      <c r="L36" s="36">
        <f>IF(AND(ISNUMBER(K36),ISNUMBER(J36)),K36*J36,"")</f>
        <v/>
      </c>
      <c r="M36" s="11" t="n"/>
      <c r="N36" s="11" t="n"/>
    </row>
    <row r="37">
      <c r="A37" s="9" t="n"/>
      <c r="B37" s="9" t="n"/>
      <c r="C37" s="9" t="n"/>
      <c r="D37" s="33" t="n"/>
      <c r="E37" s="9" t="n"/>
      <c r="F37" s="9" t="n"/>
      <c r="G37" s="9" t="n"/>
      <c r="H37" s="9" t="n"/>
      <c r="I37" s="34" t="n"/>
      <c r="J37" s="35" t="n"/>
      <c r="K37" s="33" t="n"/>
      <c r="L37" s="33">
        <f>IF(AND(ISNUMBER(K37),ISNUMBER(J37)),K37*J37,"")</f>
        <v/>
      </c>
      <c r="M37" s="9" t="n"/>
      <c r="N37" s="9" t="n"/>
    </row>
    <row r="38">
      <c r="A38" s="11" t="n"/>
      <c r="B38" s="11" t="n"/>
      <c r="C38" s="11" t="n"/>
      <c r="D38" s="36" t="n"/>
      <c r="E38" s="11" t="n"/>
      <c r="F38" s="11" t="n"/>
      <c r="G38" s="11" t="n"/>
      <c r="H38" s="11" t="n"/>
      <c r="I38" s="37" t="n"/>
      <c r="J38" s="38" t="n"/>
      <c r="K38" s="36" t="n"/>
      <c r="L38" s="36">
        <f>IF(AND(ISNUMBER(K38),ISNUMBER(J38)),K38*J38,"")</f>
        <v/>
      </c>
      <c r="M38" s="11" t="n"/>
      <c r="N38" s="11" t="n"/>
    </row>
    <row r="39">
      <c r="A39" s="9" t="n"/>
      <c r="B39" s="9" t="n"/>
      <c r="C39" s="9" t="n"/>
      <c r="D39" s="33" t="n"/>
      <c r="E39" s="9" t="n"/>
      <c r="F39" s="9" t="n"/>
      <c r="G39" s="9" t="n"/>
      <c r="H39" s="9" t="n"/>
      <c r="I39" s="34" t="n"/>
      <c r="J39" s="35" t="n"/>
      <c r="K39" s="33" t="n"/>
      <c r="L39" s="33">
        <f>IF(AND(ISNUMBER(K39),ISNUMBER(J39)),K39*J39,"")</f>
        <v/>
      </c>
      <c r="M39" s="9" t="n"/>
      <c r="N39" s="9" t="n"/>
    </row>
    <row r="40">
      <c r="A40" s="11" t="n"/>
      <c r="B40" s="11" t="n"/>
      <c r="C40" s="11" t="n"/>
      <c r="D40" s="36" t="n"/>
      <c r="E40" s="11" t="n"/>
      <c r="F40" s="11" t="n"/>
      <c r="G40" s="11" t="n"/>
      <c r="H40" s="11" t="n"/>
      <c r="I40" s="37" t="n"/>
      <c r="J40" s="38" t="n"/>
      <c r="K40" s="36" t="n"/>
      <c r="L40" s="36">
        <f>IF(AND(ISNUMBER(K40),ISNUMBER(J40)),K40*J40,"")</f>
        <v/>
      </c>
      <c r="M40" s="11" t="n"/>
      <c r="N40" s="11" t="n"/>
    </row>
    <row r="41">
      <c r="A41" s="9" t="n"/>
      <c r="B41" s="9" t="n"/>
      <c r="C41" s="9" t="n"/>
      <c r="D41" s="33" t="n"/>
      <c r="E41" s="9" t="n"/>
      <c r="F41" s="9" t="n"/>
      <c r="G41" s="9" t="n"/>
      <c r="H41" s="9" t="n"/>
      <c r="I41" s="34" t="n"/>
      <c r="J41" s="35" t="n"/>
      <c r="K41" s="33" t="n"/>
      <c r="L41" s="33">
        <f>IF(AND(ISNUMBER(K41),ISNUMBER(J41)),K41*J41,"")</f>
        <v/>
      </c>
      <c r="M41" s="9" t="n"/>
      <c r="N41" s="9" t="n"/>
    </row>
    <row r="42">
      <c r="A42" s="11" t="n"/>
      <c r="B42" s="11" t="n"/>
      <c r="C42" s="11" t="n"/>
      <c r="D42" s="36" t="n"/>
      <c r="E42" s="11" t="n"/>
      <c r="F42" s="11" t="n"/>
      <c r="G42" s="11" t="n"/>
      <c r="H42" s="11" t="n"/>
      <c r="I42" s="37" t="n"/>
      <c r="J42" s="38" t="n"/>
      <c r="K42" s="36" t="n"/>
      <c r="L42" s="36">
        <f>IF(AND(ISNUMBER(K42),ISNUMBER(J42)),K42*J42,"")</f>
        <v/>
      </c>
      <c r="M42" s="11" t="n"/>
      <c r="N42" s="11" t="n"/>
    </row>
    <row r="43">
      <c r="A43" s="9" t="n"/>
      <c r="B43" s="9" t="n"/>
      <c r="C43" s="9" t="n"/>
      <c r="D43" s="33" t="n"/>
      <c r="E43" s="9" t="n"/>
      <c r="F43" s="9" t="n"/>
      <c r="G43" s="9" t="n"/>
      <c r="H43" s="9" t="n"/>
      <c r="I43" s="34" t="n"/>
      <c r="J43" s="35" t="n"/>
      <c r="K43" s="33" t="n"/>
      <c r="L43" s="33">
        <f>IF(AND(ISNUMBER(K43),ISNUMBER(J43)),K43*J43,"")</f>
        <v/>
      </c>
      <c r="M43" s="9" t="n"/>
      <c r="N43" s="9" t="n"/>
    </row>
    <row r="44">
      <c r="A44" s="11" t="n"/>
      <c r="B44" s="11" t="n"/>
      <c r="C44" s="11" t="n"/>
      <c r="D44" s="36" t="n"/>
      <c r="E44" s="11" t="n"/>
      <c r="F44" s="11" t="n"/>
      <c r="G44" s="11" t="n"/>
      <c r="H44" s="11" t="n"/>
      <c r="I44" s="37" t="n"/>
      <c r="J44" s="38" t="n"/>
      <c r="K44" s="36" t="n"/>
      <c r="L44" s="36">
        <f>IF(AND(ISNUMBER(K44),ISNUMBER(J44)),K44*J44,"")</f>
        <v/>
      </c>
      <c r="M44" s="11" t="n"/>
      <c r="N44" s="11" t="n"/>
    </row>
    <row r="45">
      <c r="A45" s="9" t="n"/>
      <c r="B45" s="9" t="n"/>
      <c r="C45" s="9" t="n"/>
      <c r="D45" s="33" t="n"/>
      <c r="E45" s="9" t="n"/>
      <c r="F45" s="9" t="n"/>
      <c r="G45" s="9" t="n"/>
      <c r="H45" s="9" t="n"/>
      <c r="I45" s="34" t="n"/>
      <c r="J45" s="35" t="n"/>
      <c r="K45" s="33" t="n"/>
      <c r="L45" s="33">
        <f>IF(AND(ISNUMBER(K45),ISNUMBER(J45)),K45*J45,"")</f>
        <v/>
      </c>
      <c r="M45" s="9" t="n"/>
      <c r="N45" s="9" t="n"/>
    </row>
    <row r="46">
      <c r="A46" s="11" t="n"/>
      <c r="B46" s="11" t="n"/>
      <c r="C46" s="11" t="n"/>
      <c r="D46" s="36" t="n"/>
      <c r="E46" s="11" t="n"/>
      <c r="F46" s="11" t="n"/>
      <c r="G46" s="11" t="n"/>
      <c r="H46" s="11" t="n"/>
      <c r="I46" s="37" t="n"/>
      <c r="J46" s="38" t="n"/>
      <c r="K46" s="36" t="n"/>
      <c r="L46" s="36">
        <f>IF(AND(ISNUMBER(K46),ISNUMBER(J46)),K46*J46,"")</f>
        <v/>
      </c>
      <c r="M46" s="11" t="n"/>
      <c r="N46" s="11" t="n"/>
    </row>
    <row r="47">
      <c r="A47" s="9" t="n"/>
      <c r="B47" s="9" t="n"/>
      <c r="C47" s="9" t="n"/>
      <c r="D47" s="33" t="n"/>
      <c r="E47" s="9" t="n"/>
      <c r="F47" s="9" t="n"/>
      <c r="G47" s="9" t="n"/>
      <c r="H47" s="9" t="n"/>
      <c r="I47" s="34" t="n"/>
      <c r="J47" s="35" t="n"/>
      <c r="K47" s="33" t="n"/>
      <c r="L47" s="33">
        <f>IF(AND(ISNUMBER(K47),ISNUMBER(J47)),K47*J47,"")</f>
        <v/>
      </c>
      <c r="M47" s="9" t="n"/>
      <c r="N47" s="9" t="n"/>
    </row>
    <row r="48">
      <c r="A48" s="11" t="n"/>
      <c r="B48" s="11" t="n"/>
      <c r="C48" s="11" t="n"/>
      <c r="D48" s="36" t="n"/>
      <c r="E48" s="11" t="n"/>
      <c r="F48" s="11" t="n"/>
      <c r="G48" s="11" t="n"/>
      <c r="H48" s="11" t="n"/>
      <c r="I48" s="37" t="n"/>
      <c r="J48" s="38" t="n"/>
      <c r="K48" s="36" t="n"/>
      <c r="L48" s="36">
        <f>IF(AND(ISNUMBER(K48),ISNUMBER(J48)),K48*J48,"")</f>
        <v/>
      </c>
      <c r="M48" s="11" t="n"/>
      <c r="N48" s="11" t="n"/>
    </row>
    <row r="49">
      <c r="A49" s="9" t="n"/>
      <c r="B49" s="9" t="n"/>
      <c r="C49" s="9" t="n"/>
      <c r="D49" s="33" t="n"/>
      <c r="E49" s="9" t="n"/>
      <c r="F49" s="9" t="n"/>
      <c r="G49" s="9" t="n"/>
      <c r="H49" s="9" t="n"/>
      <c r="I49" s="34" t="n"/>
      <c r="J49" s="35" t="n"/>
      <c r="K49" s="33" t="n"/>
      <c r="L49" s="33">
        <f>IF(AND(ISNUMBER(K49),ISNUMBER(J49)),K49*J49,"")</f>
        <v/>
      </c>
      <c r="M49" s="9" t="n"/>
      <c r="N49" s="9" t="n"/>
    </row>
    <row r="50">
      <c r="A50" s="11" t="n"/>
      <c r="B50" s="11" t="n"/>
      <c r="C50" s="11" t="n"/>
      <c r="D50" s="36" t="n"/>
      <c r="E50" s="11" t="n"/>
      <c r="F50" s="11" t="n"/>
      <c r="G50" s="11" t="n"/>
      <c r="H50" s="11" t="n"/>
      <c r="I50" s="37" t="n"/>
      <c r="J50" s="38" t="n"/>
      <c r="K50" s="36" t="n"/>
      <c r="L50" s="36">
        <f>IF(AND(ISNUMBER(K50),ISNUMBER(J50)),K50*J50,"")</f>
        <v/>
      </c>
      <c r="M50" s="11" t="n"/>
      <c r="N50" s="11" t="n"/>
    </row>
    <row r="51">
      <c r="A51" s="9" t="n"/>
      <c r="B51" s="9" t="n"/>
      <c r="C51" s="9" t="n"/>
      <c r="D51" s="33" t="n"/>
      <c r="E51" s="9" t="n"/>
      <c r="F51" s="9" t="n"/>
      <c r="G51" s="9" t="n"/>
      <c r="H51" s="9" t="n"/>
      <c r="I51" s="34" t="n"/>
      <c r="J51" s="35" t="n"/>
      <c r="K51" s="33" t="n"/>
      <c r="L51" s="33">
        <f>IF(AND(ISNUMBER(K51),ISNUMBER(J51)),K51*J51,"")</f>
        <v/>
      </c>
      <c r="M51" s="9" t="n"/>
      <c r="N51" s="9" t="n"/>
    </row>
    <row r="52">
      <c r="A52" s="11" t="n"/>
      <c r="B52" s="11" t="n"/>
      <c r="C52" s="11" t="n"/>
      <c r="D52" s="36" t="n"/>
      <c r="E52" s="11" t="n"/>
      <c r="F52" s="11" t="n"/>
      <c r="G52" s="11" t="n"/>
      <c r="H52" s="11" t="n"/>
      <c r="I52" s="37" t="n"/>
      <c r="J52" s="38" t="n"/>
      <c r="K52" s="36" t="n"/>
      <c r="L52" s="36">
        <f>IF(AND(ISNUMBER(K52),ISNUMBER(J52)),K52*J52,"")</f>
        <v/>
      </c>
      <c r="M52" s="11" t="n"/>
      <c r="N52" s="11" t="n"/>
    </row>
    <row r="53">
      <c r="A53" s="9" t="n"/>
      <c r="B53" s="9" t="n"/>
      <c r="C53" s="9" t="n"/>
      <c r="D53" s="33" t="n"/>
      <c r="E53" s="9" t="n"/>
      <c r="F53" s="9" t="n"/>
      <c r="G53" s="9" t="n"/>
      <c r="H53" s="9" t="n"/>
      <c r="I53" s="34" t="n"/>
      <c r="J53" s="35" t="n"/>
      <c r="K53" s="33" t="n"/>
      <c r="L53" s="33">
        <f>IF(AND(ISNUMBER(K53),ISNUMBER(J53)),K53*J53,"")</f>
        <v/>
      </c>
      <c r="M53" s="9" t="n"/>
      <c r="N53" s="9" t="n"/>
    </row>
    <row r="54">
      <c r="A54" s="11" t="n"/>
      <c r="B54" s="11" t="n"/>
      <c r="C54" s="11" t="n"/>
      <c r="D54" s="36" t="n"/>
      <c r="E54" s="11" t="n"/>
      <c r="F54" s="11" t="n"/>
      <c r="G54" s="11" t="n"/>
      <c r="H54" s="11" t="n"/>
      <c r="I54" s="37" t="n"/>
      <c r="J54" s="38" t="n"/>
      <c r="K54" s="36" t="n"/>
      <c r="L54" s="36">
        <f>IF(AND(ISNUMBER(K54),ISNUMBER(J54)),K54*J54,"")</f>
        <v/>
      </c>
      <c r="M54" s="11" t="n"/>
      <c r="N54" s="11" t="n"/>
    </row>
    <row r="55">
      <c r="A55" s="9" t="n"/>
      <c r="B55" s="9" t="n"/>
      <c r="C55" s="9" t="n"/>
      <c r="D55" s="33" t="n"/>
      <c r="E55" s="9" t="n"/>
      <c r="F55" s="9" t="n"/>
      <c r="G55" s="9" t="n"/>
      <c r="H55" s="9" t="n"/>
      <c r="I55" s="34" t="n"/>
      <c r="J55" s="35" t="n"/>
      <c r="K55" s="33" t="n"/>
      <c r="L55" s="33">
        <f>IF(AND(ISNUMBER(K55),ISNUMBER(J55)),K55*J55,"")</f>
        <v/>
      </c>
      <c r="M55" s="9" t="n"/>
      <c r="N55" s="9" t="n"/>
    </row>
    <row r="56">
      <c r="A56" s="11" t="n"/>
      <c r="B56" s="11" t="n"/>
      <c r="C56" s="11" t="n"/>
      <c r="D56" s="36" t="n"/>
      <c r="E56" s="11" t="n"/>
      <c r="F56" s="11" t="n"/>
      <c r="G56" s="11" t="n"/>
      <c r="H56" s="11" t="n"/>
      <c r="I56" s="37" t="n"/>
      <c r="J56" s="38" t="n"/>
      <c r="K56" s="36" t="n"/>
      <c r="L56" s="36">
        <f>IF(AND(ISNUMBER(K56),ISNUMBER(J56)),K56*J56,"")</f>
        <v/>
      </c>
      <c r="M56" s="11" t="n"/>
      <c r="N56" s="11" t="n"/>
    </row>
    <row r="57">
      <c r="A57" s="9" t="n"/>
      <c r="B57" s="9" t="n"/>
      <c r="C57" s="9" t="n"/>
      <c r="D57" s="33" t="n"/>
      <c r="E57" s="9" t="n"/>
      <c r="F57" s="9" t="n"/>
      <c r="G57" s="9" t="n"/>
      <c r="H57" s="9" t="n"/>
      <c r="I57" s="34" t="n"/>
      <c r="J57" s="35" t="n"/>
      <c r="K57" s="33" t="n"/>
      <c r="L57" s="33">
        <f>IF(AND(ISNUMBER(K57),ISNUMBER(J57)),K57*J57,"")</f>
        <v/>
      </c>
      <c r="M57" s="9" t="n"/>
      <c r="N57" s="9" t="n"/>
    </row>
    <row r="58">
      <c r="A58" s="11" t="n"/>
      <c r="B58" s="11" t="n"/>
      <c r="C58" s="11" t="n"/>
      <c r="D58" s="36" t="n"/>
      <c r="E58" s="11" t="n"/>
      <c r="F58" s="11" t="n"/>
      <c r="G58" s="11" t="n"/>
      <c r="H58" s="11" t="n"/>
      <c r="I58" s="37" t="n"/>
      <c r="J58" s="38" t="n"/>
      <c r="K58" s="36" t="n"/>
      <c r="L58" s="36">
        <f>IF(AND(ISNUMBER(K58),ISNUMBER(J58)),K58*J58,"")</f>
        <v/>
      </c>
      <c r="M58" s="11" t="n"/>
      <c r="N58" s="11" t="n"/>
    </row>
    <row r="59">
      <c r="A59" s="9" t="n"/>
      <c r="B59" s="9" t="n"/>
      <c r="C59" s="9" t="n"/>
      <c r="D59" s="33" t="n"/>
      <c r="E59" s="9" t="n"/>
      <c r="F59" s="9" t="n"/>
      <c r="G59" s="9" t="n"/>
      <c r="H59" s="9" t="n"/>
      <c r="I59" s="34" t="n"/>
      <c r="J59" s="35" t="n"/>
      <c r="K59" s="33" t="n"/>
      <c r="L59" s="33">
        <f>IF(AND(ISNUMBER(K59),ISNUMBER(J59)),K59*J59,"")</f>
        <v/>
      </c>
      <c r="M59" s="9" t="n"/>
      <c r="N59" s="9" t="n"/>
    </row>
    <row r="60">
      <c r="A60" s="11" t="n"/>
      <c r="B60" s="11" t="n"/>
      <c r="C60" s="11" t="n"/>
      <c r="D60" s="36" t="n"/>
      <c r="E60" s="11" t="n"/>
      <c r="F60" s="11" t="n"/>
      <c r="G60" s="11" t="n"/>
      <c r="H60" s="11" t="n"/>
      <c r="I60" s="37" t="n"/>
      <c r="J60" s="38" t="n"/>
      <c r="K60" s="36" t="n"/>
      <c r="L60" s="36">
        <f>IF(AND(ISNUMBER(K60),ISNUMBER(J60)),K60*J60,"")</f>
        <v/>
      </c>
      <c r="M60" s="11" t="n"/>
      <c r="N60" s="11" t="n"/>
    </row>
    <row r="61">
      <c r="A61" s="9" t="n"/>
      <c r="B61" s="9" t="n"/>
      <c r="C61" s="9" t="n"/>
      <c r="D61" s="33" t="n"/>
      <c r="E61" s="9" t="n"/>
      <c r="F61" s="9" t="n"/>
      <c r="G61" s="9" t="n"/>
      <c r="H61" s="9" t="n"/>
      <c r="I61" s="34" t="n"/>
      <c r="J61" s="35" t="n"/>
      <c r="K61" s="33" t="n"/>
      <c r="L61" s="33">
        <f>IF(AND(ISNUMBER(K61),ISNUMBER(J61)),K61*J61,"")</f>
        <v/>
      </c>
      <c r="M61" s="9" t="n"/>
      <c r="N61" s="9" t="n"/>
    </row>
    <row r="62">
      <c r="A62" s="11" t="n"/>
      <c r="B62" s="11" t="n"/>
      <c r="C62" s="11" t="n"/>
      <c r="D62" s="36" t="n"/>
      <c r="E62" s="11" t="n"/>
      <c r="F62" s="11" t="n"/>
      <c r="G62" s="11" t="n"/>
      <c r="H62" s="11" t="n"/>
      <c r="I62" s="37" t="n"/>
      <c r="J62" s="38" t="n"/>
      <c r="K62" s="36" t="n"/>
      <c r="L62" s="36">
        <f>IF(AND(ISNUMBER(K62),ISNUMBER(J62)),K62*J62,"")</f>
        <v/>
      </c>
      <c r="M62" s="11" t="n"/>
      <c r="N62" s="11" t="n"/>
    </row>
    <row r="63">
      <c r="A63" s="9" t="n"/>
      <c r="B63" s="9" t="n"/>
      <c r="C63" s="9" t="n"/>
      <c r="D63" s="33" t="n"/>
      <c r="E63" s="9" t="n"/>
      <c r="F63" s="9" t="n"/>
      <c r="G63" s="9" t="n"/>
      <c r="H63" s="9" t="n"/>
      <c r="I63" s="34" t="n"/>
      <c r="J63" s="35" t="n"/>
      <c r="K63" s="33" t="n"/>
      <c r="L63" s="33">
        <f>IF(AND(ISNUMBER(K63),ISNUMBER(J63)),K63*J63,"")</f>
        <v/>
      </c>
      <c r="M63" s="9" t="n"/>
      <c r="N63" s="9" t="n"/>
    </row>
    <row r="64">
      <c r="A64" s="11" t="n"/>
      <c r="B64" s="11" t="n"/>
      <c r="C64" s="11" t="n"/>
      <c r="D64" s="36" t="n"/>
      <c r="E64" s="11" t="n"/>
      <c r="F64" s="11" t="n"/>
      <c r="G64" s="11" t="n"/>
      <c r="H64" s="11" t="n"/>
      <c r="I64" s="37" t="n"/>
      <c r="J64" s="38" t="n"/>
      <c r="K64" s="36" t="n"/>
      <c r="L64" s="36">
        <f>IF(AND(ISNUMBER(K64),ISNUMBER(J64)),K64*J64,"")</f>
        <v/>
      </c>
      <c r="M64" s="11" t="n"/>
      <c r="N64" s="11" t="n"/>
    </row>
    <row r="65">
      <c r="A65" s="9" t="n"/>
      <c r="B65" s="9" t="n"/>
      <c r="C65" s="9" t="n"/>
      <c r="D65" s="33" t="n"/>
      <c r="E65" s="9" t="n"/>
      <c r="F65" s="9" t="n"/>
      <c r="G65" s="9" t="n"/>
      <c r="H65" s="9" t="n"/>
      <c r="I65" s="34" t="n"/>
      <c r="J65" s="35" t="n"/>
      <c r="K65" s="33" t="n"/>
      <c r="L65" s="33">
        <f>IF(AND(ISNUMBER(K65),ISNUMBER(J65)),K65*J65,"")</f>
        <v/>
      </c>
      <c r="M65" s="9" t="n"/>
      <c r="N65" s="9" t="n"/>
    </row>
    <row r="66">
      <c r="A66" s="11" t="n"/>
      <c r="B66" s="11" t="n"/>
      <c r="C66" s="11" t="n"/>
      <c r="D66" s="36" t="n"/>
      <c r="E66" s="11" t="n"/>
      <c r="F66" s="11" t="n"/>
      <c r="G66" s="11" t="n"/>
      <c r="H66" s="11" t="n"/>
      <c r="I66" s="37" t="n"/>
      <c r="J66" s="38" t="n"/>
      <c r="K66" s="36" t="n"/>
      <c r="L66" s="36">
        <f>IF(AND(ISNUMBER(K66),ISNUMBER(J66)),K66*J66,"")</f>
        <v/>
      </c>
      <c r="M66" s="11" t="n"/>
      <c r="N66" s="11" t="n"/>
    </row>
    <row r="67">
      <c r="A67" s="9" t="n"/>
      <c r="B67" s="9" t="n"/>
      <c r="C67" s="9" t="n"/>
      <c r="D67" s="33" t="n"/>
      <c r="E67" s="9" t="n"/>
      <c r="F67" s="9" t="n"/>
      <c r="G67" s="9" t="n"/>
      <c r="H67" s="9" t="n"/>
      <c r="I67" s="34" t="n"/>
      <c r="J67" s="35" t="n"/>
      <c r="K67" s="33" t="n"/>
      <c r="L67" s="33">
        <f>IF(AND(ISNUMBER(K67),ISNUMBER(J67)),K67*J67,"")</f>
        <v/>
      </c>
      <c r="M67" s="9" t="n"/>
      <c r="N67" s="9" t="n"/>
    </row>
    <row r="68">
      <c r="A68" s="11" t="n"/>
      <c r="B68" s="11" t="n"/>
      <c r="C68" s="11" t="n"/>
      <c r="D68" s="36" t="n"/>
      <c r="E68" s="11" t="n"/>
      <c r="F68" s="11" t="n"/>
      <c r="G68" s="11" t="n"/>
      <c r="H68" s="11" t="n"/>
      <c r="I68" s="37" t="n"/>
      <c r="J68" s="38" t="n"/>
      <c r="K68" s="36" t="n"/>
      <c r="L68" s="36">
        <f>IF(AND(ISNUMBER(K68),ISNUMBER(J68)),K68*J68,"")</f>
        <v/>
      </c>
      <c r="M68" s="11" t="n"/>
      <c r="N68" s="11" t="n"/>
    </row>
    <row r="69">
      <c r="A69" s="9" t="n"/>
      <c r="B69" s="9" t="n"/>
      <c r="C69" s="9" t="n"/>
      <c r="D69" s="33" t="n"/>
      <c r="E69" s="9" t="n"/>
      <c r="F69" s="9" t="n"/>
      <c r="G69" s="9" t="n"/>
      <c r="H69" s="9" t="n"/>
      <c r="I69" s="34" t="n"/>
      <c r="J69" s="35" t="n"/>
      <c r="K69" s="33" t="n"/>
      <c r="L69" s="33">
        <f>IF(AND(ISNUMBER(K69),ISNUMBER(J69)),K69*J69,"")</f>
        <v/>
      </c>
      <c r="M69" s="9" t="n"/>
      <c r="N69" s="9" t="n"/>
    </row>
    <row r="70">
      <c r="A70" s="11" t="n"/>
      <c r="B70" s="11" t="n"/>
      <c r="C70" s="11" t="n"/>
      <c r="D70" s="36" t="n"/>
      <c r="E70" s="11" t="n"/>
      <c r="F70" s="11" t="n"/>
      <c r="G70" s="11" t="n"/>
      <c r="H70" s="11" t="n"/>
      <c r="I70" s="37" t="n"/>
      <c r="J70" s="38" t="n"/>
      <c r="K70" s="36" t="n"/>
      <c r="L70" s="36">
        <f>IF(AND(ISNUMBER(K70),ISNUMBER(J70)),K70*J70,"")</f>
        <v/>
      </c>
      <c r="M70" s="11" t="n"/>
      <c r="N70" s="11" t="n"/>
    </row>
    <row r="71">
      <c r="A71" s="9" t="n"/>
      <c r="B71" s="9" t="n"/>
      <c r="C71" s="9" t="n"/>
      <c r="D71" s="33" t="n"/>
      <c r="E71" s="9" t="n"/>
      <c r="F71" s="9" t="n"/>
      <c r="G71" s="9" t="n"/>
      <c r="H71" s="9" t="n"/>
      <c r="I71" s="34" t="n"/>
      <c r="J71" s="35" t="n"/>
      <c r="K71" s="33" t="n"/>
      <c r="L71" s="33">
        <f>IF(AND(ISNUMBER(K71),ISNUMBER(J71)),K71*J71,"")</f>
        <v/>
      </c>
      <c r="M71" s="9" t="n"/>
      <c r="N71" s="9" t="n"/>
    </row>
    <row r="72">
      <c r="A72" s="11" t="n"/>
      <c r="B72" s="11" t="n"/>
      <c r="C72" s="11" t="n"/>
      <c r="D72" s="36" t="n"/>
      <c r="E72" s="11" t="n"/>
      <c r="F72" s="11" t="n"/>
      <c r="G72" s="11" t="n"/>
      <c r="H72" s="11" t="n"/>
      <c r="I72" s="37" t="n"/>
      <c r="J72" s="38" t="n"/>
      <c r="K72" s="36" t="n"/>
      <c r="L72" s="36">
        <f>IF(AND(ISNUMBER(K72),ISNUMBER(J72)),K72*J72,"")</f>
        <v/>
      </c>
      <c r="M72" s="11" t="n"/>
      <c r="N72" s="11" t="n"/>
    </row>
    <row r="73">
      <c r="A73" s="9" t="n"/>
      <c r="B73" s="9" t="n"/>
      <c r="C73" s="9" t="n"/>
      <c r="D73" s="33" t="n"/>
      <c r="E73" s="9" t="n"/>
      <c r="F73" s="9" t="n"/>
      <c r="G73" s="9" t="n"/>
      <c r="H73" s="9" t="n"/>
      <c r="I73" s="34" t="n"/>
      <c r="J73" s="35" t="n"/>
      <c r="K73" s="33" t="n"/>
      <c r="L73" s="33">
        <f>IF(AND(ISNUMBER(K73),ISNUMBER(J73)),K73*J73,"")</f>
        <v/>
      </c>
      <c r="M73" s="9" t="n"/>
      <c r="N73" s="9" t="n"/>
    </row>
    <row r="74">
      <c r="A74" s="11" t="n"/>
      <c r="B74" s="11" t="n"/>
      <c r="C74" s="11" t="n"/>
      <c r="D74" s="36" t="n"/>
      <c r="E74" s="11" t="n"/>
      <c r="F74" s="11" t="n"/>
      <c r="G74" s="11" t="n"/>
      <c r="H74" s="11" t="n"/>
      <c r="I74" s="37" t="n"/>
      <c r="J74" s="38" t="n"/>
      <c r="K74" s="36" t="n"/>
      <c r="L74" s="36">
        <f>IF(AND(ISNUMBER(K74),ISNUMBER(J74)),K74*J74,"")</f>
        <v/>
      </c>
      <c r="M74" s="11" t="n"/>
      <c r="N74" s="11" t="n"/>
    </row>
    <row r="75">
      <c r="A75" s="9" t="n"/>
      <c r="B75" s="9" t="n"/>
      <c r="C75" s="9" t="n"/>
      <c r="D75" s="33" t="n"/>
      <c r="E75" s="9" t="n"/>
      <c r="F75" s="9" t="n"/>
      <c r="G75" s="9" t="n"/>
      <c r="H75" s="9" t="n"/>
      <c r="I75" s="34" t="n"/>
      <c r="J75" s="35" t="n"/>
      <c r="K75" s="33" t="n"/>
      <c r="L75" s="33">
        <f>IF(AND(ISNUMBER(K75),ISNUMBER(J75)),K75*J75,"")</f>
        <v/>
      </c>
      <c r="M75" s="9" t="n"/>
      <c r="N75" s="9" t="n"/>
    </row>
    <row r="76">
      <c r="A76" s="11" t="n"/>
      <c r="B76" s="11" t="n"/>
      <c r="C76" s="11" t="n"/>
      <c r="D76" s="36" t="n"/>
      <c r="E76" s="11" t="n"/>
      <c r="F76" s="11" t="n"/>
      <c r="G76" s="11" t="n"/>
      <c r="H76" s="11" t="n"/>
      <c r="I76" s="37" t="n"/>
      <c r="J76" s="38" t="n"/>
      <c r="K76" s="36" t="n"/>
      <c r="L76" s="36">
        <f>IF(AND(ISNUMBER(K76),ISNUMBER(J76)),K76*J76,"")</f>
        <v/>
      </c>
      <c r="M76" s="11" t="n"/>
      <c r="N76" s="11" t="n"/>
    </row>
    <row r="77">
      <c r="A77" s="9" t="n"/>
      <c r="B77" s="9" t="n"/>
      <c r="C77" s="9" t="n"/>
      <c r="D77" s="33" t="n"/>
      <c r="E77" s="9" t="n"/>
      <c r="F77" s="9" t="n"/>
      <c r="G77" s="9" t="n"/>
      <c r="H77" s="9" t="n"/>
      <c r="I77" s="34" t="n"/>
      <c r="J77" s="35" t="n"/>
      <c r="K77" s="33" t="n"/>
      <c r="L77" s="33">
        <f>IF(AND(ISNUMBER(K77),ISNUMBER(J77)),K77*J77,"")</f>
        <v/>
      </c>
      <c r="M77" s="9" t="n"/>
      <c r="N77" s="9" t="n"/>
    </row>
    <row r="78">
      <c r="A78" s="11" t="n"/>
      <c r="B78" s="11" t="n"/>
      <c r="C78" s="11" t="n"/>
      <c r="D78" s="36" t="n"/>
      <c r="E78" s="11" t="n"/>
      <c r="F78" s="11" t="n"/>
      <c r="G78" s="11" t="n"/>
      <c r="H78" s="11" t="n"/>
      <c r="I78" s="37" t="n"/>
      <c r="J78" s="38" t="n"/>
      <c r="K78" s="36" t="n"/>
      <c r="L78" s="36">
        <f>IF(AND(ISNUMBER(K78),ISNUMBER(J78)),K78*J78,"")</f>
        <v/>
      </c>
      <c r="M78" s="11" t="n"/>
      <c r="N78" s="11" t="n"/>
    </row>
    <row r="79">
      <c r="A79" s="9" t="n"/>
      <c r="B79" s="9" t="n"/>
      <c r="C79" s="9" t="n"/>
      <c r="D79" s="33" t="n"/>
      <c r="E79" s="9" t="n"/>
      <c r="F79" s="9" t="n"/>
      <c r="G79" s="9" t="n"/>
      <c r="H79" s="9" t="n"/>
      <c r="I79" s="34" t="n"/>
      <c r="J79" s="35" t="n"/>
      <c r="K79" s="33" t="n"/>
      <c r="L79" s="33">
        <f>IF(AND(ISNUMBER(K79),ISNUMBER(J79)),K79*J79,"")</f>
        <v/>
      </c>
      <c r="M79" s="9" t="n"/>
      <c r="N79" s="9" t="n"/>
    </row>
    <row r="80">
      <c r="A80" s="11" t="n"/>
      <c r="B80" s="11" t="n"/>
      <c r="C80" s="11" t="n"/>
      <c r="D80" s="36" t="n"/>
      <c r="E80" s="11" t="n"/>
      <c r="F80" s="11" t="n"/>
      <c r="G80" s="11" t="n"/>
      <c r="H80" s="11" t="n"/>
      <c r="I80" s="37" t="n"/>
      <c r="J80" s="38" t="n"/>
      <c r="K80" s="36" t="n"/>
      <c r="L80" s="36">
        <f>IF(AND(ISNUMBER(K80),ISNUMBER(J80)),K80*J80,"")</f>
        <v/>
      </c>
      <c r="M80" s="11" t="n"/>
      <c r="N80" s="11" t="n"/>
    </row>
    <row r="81">
      <c r="A81" s="9" t="n"/>
      <c r="B81" s="9" t="n"/>
      <c r="C81" s="9" t="n"/>
      <c r="D81" s="33" t="n"/>
      <c r="E81" s="9" t="n"/>
      <c r="F81" s="9" t="n"/>
      <c r="G81" s="9" t="n"/>
      <c r="H81" s="9" t="n"/>
      <c r="I81" s="34" t="n"/>
      <c r="J81" s="35" t="n"/>
      <c r="K81" s="33" t="n"/>
      <c r="L81" s="33">
        <f>IF(AND(ISNUMBER(K81),ISNUMBER(J81)),K81*J81,"")</f>
        <v/>
      </c>
      <c r="M81" s="9" t="n"/>
      <c r="N81" s="9" t="n"/>
    </row>
    <row r="82">
      <c r="A82" s="11" t="n"/>
      <c r="B82" s="11" t="n"/>
      <c r="C82" s="11" t="n"/>
      <c r="D82" s="36" t="n"/>
      <c r="E82" s="11" t="n"/>
      <c r="F82" s="11" t="n"/>
      <c r="G82" s="11" t="n"/>
      <c r="H82" s="11" t="n"/>
      <c r="I82" s="37" t="n"/>
      <c r="J82" s="38" t="n"/>
      <c r="K82" s="36" t="n"/>
      <c r="L82" s="36">
        <f>IF(AND(ISNUMBER(K82),ISNUMBER(J82)),K82*J82,"")</f>
        <v/>
      </c>
      <c r="M82" s="11" t="n"/>
      <c r="N82" s="11" t="n"/>
    </row>
    <row r="83">
      <c r="A83" s="9" t="n"/>
      <c r="B83" s="9" t="n"/>
      <c r="C83" s="9" t="n"/>
      <c r="D83" s="33" t="n"/>
      <c r="E83" s="9" t="n"/>
      <c r="F83" s="9" t="n"/>
      <c r="G83" s="9" t="n"/>
      <c r="H83" s="9" t="n"/>
      <c r="I83" s="34" t="n"/>
      <c r="J83" s="35" t="n"/>
      <c r="K83" s="33" t="n"/>
      <c r="L83" s="33">
        <f>IF(AND(ISNUMBER(K83),ISNUMBER(J83)),K83*J83,"")</f>
        <v/>
      </c>
      <c r="M83" s="9" t="n"/>
      <c r="N83" s="9" t="n"/>
    </row>
    <row r="84">
      <c r="A84" s="11" t="n"/>
      <c r="B84" s="11" t="n"/>
      <c r="C84" s="11" t="n"/>
      <c r="D84" s="36" t="n"/>
      <c r="E84" s="11" t="n"/>
      <c r="F84" s="11" t="n"/>
      <c r="G84" s="11" t="n"/>
      <c r="H84" s="11" t="n"/>
      <c r="I84" s="37" t="n"/>
      <c r="J84" s="38" t="n"/>
      <c r="K84" s="36" t="n"/>
      <c r="L84" s="36">
        <f>IF(AND(ISNUMBER(K84),ISNUMBER(J84)),K84*J84,"")</f>
        <v/>
      </c>
      <c r="M84" s="11" t="n"/>
      <c r="N84" s="11" t="n"/>
    </row>
    <row r="85">
      <c r="A85" s="9" t="n"/>
      <c r="B85" s="9" t="n"/>
      <c r="C85" s="9" t="n"/>
      <c r="D85" s="33" t="n"/>
      <c r="E85" s="9" t="n"/>
      <c r="F85" s="9" t="n"/>
      <c r="G85" s="9" t="n"/>
      <c r="H85" s="9" t="n"/>
      <c r="I85" s="34" t="n"/>
      <c r="J85" s="35" t="n"/>
      <c r="K85" s="33" t="n"/>
      <c r="L85" s="33">
        <f>IF(AND(ISNUMBER(K85),ISNUMBER(J85)),K85*J85,"")</f>
        <v/>
      </c>
      <c r="M85" s="9" t="n"/>
      <c r="N85" s="9" t="n"/>
    </row>
    <row r="86">
      <c r="A86" s="11" t="n"/>
      <c r="B86" s="11" t="n"/>
      <c r="C86" s="11" t="n"/>
      <c r="D86" s="36" t="n"/>
      <c r="E86" s="11" t="n"/>
      <c r="F86" s="11" t="n"/>
      <c r="G86" s="11" t="n"/>
      <c r="H86" s="11" t="n"/>
      <c r="I86" s="37" t="n"/>
      <c r="J86" s="38" t="n"/>
      <c r="K86" s="36" t="n"/>
      <c r="L86" s="36">
        <f>IF(AND(ISNUMBER(K86),ISNUMBER(J86)),K86*J86,"")</f>
        <v/>
      </c>
      <c r="M86" s="11" t="n"/>
      <c r="N86" s="11" t="n"/>
    </row>
    <row r="87">
      <c r="A87" s="9" t="n"/>
      <c r="B87" s="9" t="n"/>
      <c r="C87" s="9" t="n"/>
      <c r="D87" s="33" t="n"/>
      <c r="E87" s="9" t="n"/>
      <c r="F87" s="9" t="n"/>
      <c r="G87" s="9" t="n"/>
      <c r="H87" s="9" t="n"/>
      <c r="I87" s="34" t="n"/>
      <c r="J87" s="35" t="n"/>
      <c r="K87" s="33" t="n"/>
      <c r="L87" s="33">
        <f>IF(AND(ISNUMBER(K87),ISNUMBER(J87)),K87*J87,"")</f>
        <v/>
      </c>
      <c r="M87" s="9" t="n"/>
      <c r="N87" s="9" t="n"/>
    </row>
    <row r="88">
      <c r="A88" s="11" t="n"/>
      <c r="B88" s="11" t="n"/>
      <c r="C88" s="11" t="n"/>
      <c r="D88" s="36" t="n"/>
      <c r="E88" s="11" t="n"/>
      <c r="F88" s="11" t="n"/>
      <c r="G88" s="11" t="n"/>
      <c r="H88" s="11" t="n"/>
      <c r="I88" s="37" t="n"/>
      <c r="J88" s="38" t="n"/>
      <c r="K88" s="36" t="n"/>
      <c r="L88" s="36">
        <f>IF(AND(ISNUMBER(K88),ISNUMBER(J88)),K88*J88,"")</f>
        <v/>
      </c>
      <c r="M88" s="11" t="n"/>
      <c r="N88" s="11" t="n"/>
    </row>
    <row r="89">
      <c r="A89" s="9" t="n"/>
      <c r="B89" s="9" t="n"/>
      <c r="C89" s="9" t="n"/>
      <c r="D89" s="33" t="n"/>
      <c r="E89" s="9" t="n"/>
      <c r="F89" s="9" t="n"/>
      <c r="G89" s="9" t="n"/>
      <c r="H89" s="9" t="n"/>
      <c r="I89" s="34" t="n"/>
      <c r="J89" s="35" t="n"/>
      <c r="K89" s="33" t="n"/>
      <c r="L89" s="33">
        <f>IF(AND(ISNUMBER(K89),ISNUMBER(J89)),K89*J89,"")</f>
        <v/>
      </c>
      <c r="M89" s="9" t="n"/>
      <c r="N89" s="9" t="n"/>
    </row>
    <row r="90">
      <c r="A90" s="11" t="n"/>
      <c r="B90" s="11" t="n"/>
      <c r="C90" s="11" t="n"/>
      <c r="D90" s="36" t="n"/>
      <c r="E90" s="11" t="n"/>
      <c r="F90" s="11" t="n"/>
      <c r="G90" s="11" t="n"/>
      <c r="H90" s="11" t="n"/>
      <c r="I90" s="37" t="n"/>
      <c r="J90" s="38" t="n"/>
      <c r="K90" s="36" t="n"/>
      <c r="L90" s="36">
        <f>IF(AND(ISNUMBER(K90),ISNUMBER(J90)),K90*J90,"")</f>
        <v/>
      </c>
      <c r="M90" s="11" t="n"/>
      <c r="N90" s="11" t="n"/>
    </row>
    <row r="91">
      <c r="A91" s="9" t="n"/>
      <c r="B91" s="9" t="n"/>
      <c r="C91" s="9" t="n"/>
      <c r="D91" s="33" t="n"/>
      <c r="E91" s="9" t="n"/>
      <c r="F91" s="9" t="n"/>
      <c r="G91" s="9" t="n"/>
      <c r="H91" s="9" t="n"/>
      <c r="I91" s="34" t="n"/>
      <c r="J91" s="35" t="n"/>
      <c r="K91" s="33" t="n"/>
      <c r="L91" s="33">
        <f>IF(AND(ISNUMBER(K91),ISNUMBER(J91)),K91*J91,"")</f>
        <v/>
      </c>
      <c r="M91" s="9" t="n"/>
      <c r="N91" s="9" t="n"/>
    </row>
    <row r="92">
      <c r="A92" s="11" t="n"/>
      <c r="B92" s="11" t="n"/>
      <c r="C92" s="11" t="n"/>
      <c r="D92" s="36" t="n"/>
      <c r="E92" s="11" t="n"/>
      <c r="F92" s="11" t="n"/>
      <c r="G92" s="11" t="n"/>
      <c r="H92" s="11" t="n"/>
      <c r="I92" s="37" t="n"/>
      <c r="J92" s="38" t="n"/>
      <c r="K92" s="36" t="n"/>
      <c r="L92" s="36">
        <f>IF(AND(ISNUMBER(K92),ISNUMBER(J92)),K92*J92,"")</f>
        <v/>
      </c>
      <c r="M92" s="11" t="n"/>
      <c r="N92" s="11" t="n"/>
    </row>
    <row r="93">
      <c r="A93" s="9" t="n"/>
      <c r="B93" s="9" t="n"/>
      <c r="C93" s="9" t="n"/>
      <c r="D93" s="33" t="n"/>
      <c r="E93" s="9" t="n"/>
      <c r="F93" s="9" t="n"/>
      <c r="G93" s="9" t="n"/>
      <c r="H93" s="9" t="n"/>
      <c r="I93" s="34" t="n"/>
      <c r="J93" s="35" t="n"/>
      <c r="K93" s="33" t="n"/>
      <c r="L93" s="33">
        <f>IF(AND(ISNUMBER(K93),ISNUMBER(J93)),K93*J93,"")</f>
        <v/>
      </c>
      <c r="M93" s="9" t="n"/>
      <c r="N93" s="9" t="n"/>
    </row>
    <row r="94">
      <c r="A94" s="11" t="n"/>
      <c r="B94" s="11" t="n"/>
      <c r="C94" s="11" t="n"/>
      <c r="D94" s="36" t="n"/>
      <c r="E94" s="11" t="n"/>
      <c r="F94" s="11" t="n"/>
      <c r="G94" s="11" t="n"/>
      <c r="H94" s="11" t="n"/>
      <c r="I94" s="37" t="n"/>
      <c r="J94" s="38" t="n"/>
      <c r="K94" s="36" t="n"/>
      <c r="L94" s="36">
        <f>IF(AND(ISNUMBER(K94),ISNUMBER(J94)),K94*J94,"")</f>
        <v/>
      </c>
      <c r="M94" s="11" t="n"/>
      <c r="N94" s="11" t="n"/>
    </row>
    <row r="95">
      <c r="A95" s="9" t="n"/>
      <c r="B95" s="9" t="n"/>
      <c r="C95" s="9" t="n"/>
      <c r="D95" s="33" t="n"/>
      <c r="E95" s="9" t="n"/>
      <c r="F95" s="9" t="n"/>
      <c r="G95" s="9" t="n"/>
      <c r="H95" s="9" t="n"/>
      <c r="I95" s="34" t="n"/>
      <c r="J95" s="35" t="n"/>
      <c r="K95" s="33" t="n"/>
      <c r="L95" s="33">
        <f>IF(AND(ISNUMBER(K95),ISNUMBER(J95)),K95*J95,"")</f>
        <v/>
      </c>
      <c r="M95" s="9" t="n"/>
      <c r="N95" s="9" t="n"/>
    </row>
    <row r="96">
      <c r="A96" s="11" t="n"/>
      <c r="B96" s="11" t="n"/>
      <c r="C96" s="11" t="n"/>
      <c r="D96" s="36" t="n"/>
      <c r="E96" s="11" t="n"/>
      <c r="F96" s="11" t="n"/>
      <c r="G96" s="11" t="n"/>
      <c r="H96" s="11" t="n"/>
      <c r="I96" s="37" t="n"/>
      <c r="J96" s="38" t="n"/>
      <c r="K96" s="36" t="n"/>
      <c r="L96" s="36">
        <f>IF(AND(ISNUMBER(K96),ISNUMBER(J96)),K96*J96,"")</f>
        <v/>
      </c>
      <c r="M96" s="11" t="n"/>
      <c r="N96" s="11" t="n"/>
    </row>
    <row r="97">
      <c r="A97" s="9" t="n"/>
      <c r="B97" s="9" t="n"/>
      <c r="C97" s="9" t="n"/>
      <c r="D97" s="33" t="n"/>
      <c r="E97" s="9" t="n"/>
      <c r="F97" s="9" t="n"/>
      <c r="G97" s="9" t="n"/>
      <c r="H97" s="9" t="n"/>
      <c r="I97" s="34" t="n"/>
      <c r="J97" s="35" t="n"/>
      <c r="K97" s="33" t="n"/>
      <c r="L97" s="33">
        <f>IF(AND(ISNUMBER(K97),ISNUMBER(J97)),K97*J97,"")</f>
        <v/>
      </c>
      <c r="M97" s="9" t="n"/>
      <c r="N97" s="9" t="n"/>
    </row>
    <row r="98">
      <c r="A98" s="11" t="n"/>
      <c r="B98" s="11" t="n"/>
      <c r="C98" s="11" t="n"/>
      <c r="D98" s="36" t="n"/>
      <c r="E98" s="11" t="n"/>
      <c r="F98" s="11" t="n"/>
      <c r="G98" s="11" t="n"/>
      <c r="H98" s="11" t="n"/>
      <c r="I98" s="37" t="n"/>
      <c r="J98" s="38" t="n"/>
      <c r="K98" s="36" t="n"/>
      <c r="L98" s="36">
        <f>IF(AND(ISNUMBER(K98),ISNUMBER(J98)),K98*J98,"")</f>
        <v/>
      </c>
      <c r="M98" s="11" t="n"/>
      <c r="N98" s="11" t="n"/>
    </row>
    <row r="99">
      <c r="A99" s="9" t="n"/>
      <c r="B99" s="9" t="n"/>
      <c r="C99" s="9" t="n"/>
      <c r="D99" s="33" t="n"/>
      <c r="E99" s="9" t="n"/>
      <c r="F99" s="9" t="n"/>
      <c r="G99" s="9" t="n"/>
      <c r="H99" s="9" t="n"/>
      <c r="I99" s="34" t="n"/>
      <c r="J99" s="35" t="n"/>
      <c r="K99" s="33" t="n"/>
      <c r="L99" s="33">
        <f>IF(AND(ISNUMBER(K99),ISNUMBER(J99)),K99*J99,"")</f>
        <v/>
      </c>
      <c r="M99" s="9" t="n"/>
      <c r="N99" s="9" t="n"/>
    </row>
    <row r="100">
      <c r="A100" s="11" t="n"/>
      <c r="B100" s="11" t="n"/>
      <c r="C100" s="11" t="n"/>
      <c r="D100" s="36" t="n"/>
      <c r="E100" s="11" t="n"/>
      <c r="F100" s="11" t="n"/>
      <c r="G100" s="11" t="n"/>
      <c r="H100" s="11" t="n"/>
      <c r="I100" s="37" t="n"/>
      <c r="J100" s="38" t="n"/>
      <c r="K100" s="36" t="n"/>
      <c r="L100" s="36">
        <f>IF(AND(ISNUMBER(K100),ISNUMBER(J100)),K100*J100,"")</f>
        <v/>
      </c>
      <c r="M100" s="11" t="n"/>
      <c r="N100" s="11" t="n"/>
    </row>
    <row r="101">
      <c r="A101" s="9" t="n"/>
      <c r="B101" s="9" t="n"/>
      <c r="C101" s="9" t="n"/>
      <c r="D101" s="33" t="n"/>
      <c r="E101" s="9" t="n"/>
      <c r="F101" s="9" t="n"/>
      <c r="G101" s="9" t="n"/>
      <c r="H101" s="9" t="n"/>
      <c r="I101" s="34" t="n"/>
      <c r="J101" s="35" t="n"/>
      <c r="K101" s="33" t="n"/>
      <c r="L101" s="33">
        <f>IF(AND(ISNUMBER(K101),ISNUMBER(J101)),K101*J101,"")</f>
        <v/>
      </c>
      <c r="M101" s="9" t="n"/>
      <c r="N101" s="9" t="n"/>
    </row>
    <row r="102">
      <c r="A102" s="11" t="n"/>
      <c r="B102" s="11" t="n"/>
      <c r="C102" s="11" t="n"/>
      <c r="D102" s="36" t="n"/>
      <c r="E102" s="11" t="n"/>
      <c r="F102" s="11" t="n"/>
      <c r="G102" s="11" t="n"/>
      <c r="H102" s="11" t="n"/>
      <c r="I102" s="37" t="n"/>
      <c r="J102" s="38" t="n"/>
      <c r="K102" s="36" t="n"/>
      <c r="L102" s="36">
        <f>IF(AND(ISNUMBER(K102),ISNUMBER(J102)),K102*J102,"")</f>
        <v/>
      </c>
      <c r="M102" s="11" t="n"/>
      <c r="N102" s="11" t="n"/>
    </row>
    <row r="103">
      <c r="A103" s="9" t="n"/>
      <c r="B103" s="9" t="n"/>
      <c r="C103" s="9" t="n"/>
      <c r="D103" s="33" t="n"/>
      <c r="E103" s="9" t="n"/>
      <c r="F103" s="9" t="n"/>
      <c r="G103" s="9" t="n"/>
      <c r="H103" s="9" t="n"/>
      <c r="I103" s="34" t="n"/>
      <c r="J103" s="35" t="n"/>
      <c r="K103" s="33" t="n"/>
      <c r="L103" s="33">
        <f>IF(AND(ISNUMBER(K103),ISNUMBER(J103)),K103*J103,"")</f>
        <v/>
      </c>
      <c r="M103" s="9" t="n"/>
      <c r="N103" s="9" t="n"/>
    </row>
    <row r="104">
      <c r="A104" s="11" t="n"/>
      <c r="B104" s="11" t="n"/>
      <c r="C104" s="11" t="n"/>
      <c r="D104" s="36" t="n"/>
      <c r="E104" s="11" t="n"/>
      <c r="F104" s="11" t="n"/>
      <c r="G104" s="11" t="n"/>
      <c r="H104" s="11" t="n"/>
      <c r="I104" s="37" t="n"/>
      <c r="J104" s="38" t="n"/>
      <c r="K104" s="36" t="n"/>
      <c r="L104" s="36">
        <f>IF(AND(ISNUMBER(K104),ISNUMBER(J104)),K104*J104,"")</f>
        <v/>
      </c>
      <c r="M104" s="11" t="n"/>
      <c r="N104" s="11" t="n"/>
    </row>
    <row r="105">
      <c r="A105" s="9" t="n"/>
      <c r="B105" s="9" t="n"/>
      <c r="C105" s="9" t="n"/>
      <c r="D105" s="33" t="n"/>
      <c r="E105" s="9" t="n"/>
      <c r="F105" s="9" t="n"/>
      <c r="G105" s="9" t="n"/>
      <c r="H105" s="9" t="n"/>
      <c r="I105" s="34" t="n"/>
      <c r="J105" s="35" t="n"/>
      <c r="K105" s="33" t="n"/>
      <c r="L105" s="33">
        <f>IF(AND(ISNUMBER(K105),ISNUMBER(J105)),K105*J105,"")</f>
        <v/>
      </c>
      <c r="M105" s="9" t="n"/>
      <c r="N105" s="9" t="n"/>
    </row>
    <row r="106">
      <c r="A106" s="11" t="n"/>
      <c r="B106" s="11" t="n"/>
      <c r="C106" s="11" t="n"/>
      <c r="D106" s="36" t="n"/>
      <c r="E106" s="11" t="n"/>
      <c r="F106" s="11" t="n"/>
      <c r="G106" s="11" t="n"/>
      <c r="H106" s="11" t="n"/>
      <c r="I106" s="37" t="n"/>
      <c r="J106" s="38" t="n"/>
      <c r="K106" s="36" t="n"/>
      <c r="L106" s="36">
        <f>IF(AND(ISNUMBER(K106),ISNUMBER(J106)),K106*J106,"")</f>
        <v/>
      </c>
      <c r="M106" s="11" t="n"/>
      <c r="N106" s="11" t="n"/>
    </row>
    <row r="107">
      <c r="A107" s="9" t="n"/>
      <c r="B107" s="9" t="n"/>
      <c r="C107" s="9" t="n"/>
      <c r="D107" s="33" t="n"/>
      <c r="E107" s="9" t="n"/>
      <c r="F107" s="9" t="n"/>
      <c r="G107" s="9" t="n"/>
      <c r="H107" s="9" t="n"/>
      <c r="I107" s="34" t="n"/>
      <c r="J107" s="35" t="n"/>
      <c r="K107" s="33" t="n"/>
      <c r="L107" s="33">
        <f>IF(AND(ISNUMBER(K107),ISNUMBER(J107)),K107*J107,"")</f>
        <v/>
      </c>
      <c r="M107" s="9" t="n"/>
      <c r="N107" s="9" t="n"/>
    </row>
    <row r="108">
      <c r="A108" s="11" t="n"/>
      <c r="B108" s="11" t="n"/>
      <c r="C108" s="11" t="n"/>
      <c r="D108" s="36" t="n"/>
      <c r="E108" s="11" t="n"/>
      <c r="F108" s="11" t="n"/>
      <c r="G108" s="11" t="n"/>
      <c r="H108" s="11" t="n"/>
      <c r="I108" s="37" t="n"/>
      <c r="J108" s="38" t="n"/>
      <c r="K108" s="36" t="n"/>
      <c r="L108" s="36">
        <f>IF(AND(ISNUMBER(K108),ISNUMBER(J108)),K108*J108,"")</f>
        <v/>
      </c>
      <c r="M108" s="11" t="n"/>
      <c r="N108" s="11" t="n"/>
    </row>
    <row r="109">
      <c r="A109" s="9" t="n"/>
      <c r="B109" s="9" t="n"/>
      <c r="C109" s="9" t="n"/>
      <c r="D109" s="33" t="n"/>
      <c r="E109" s="9" t="n"/>
      <c r="F109" s="9" t="n"/>
      <c r="G109" s="9" t="n"/>
      <c r="H109" s="9" t="n"/>
      <c r="I109" s="34" t="n"/>
      <c r="J109" s="35" t="n"/>
      <c r="K109" s="33" t="n"/>
      <c r="L109" s="33">
        <f>IF(AND(ISNUMBER(K109),ISNUMBER(J109)),K109*J109,"")</f>
        <v/>
      </c>
      <c r="M109" s="9" t="n"/>
      <c r="N109" s="9" t="n"/>
    </row>
    <row r="110">
      <c r="A110" s="11" t="n"/>
      <c r="B110" s="11" t="n"/>
      <c r="C110" s="11" t="n"/>
      <c r="D110" s="36" t="n"/>
      <c r="E110" s="11" t="n"/>
      <c r="F110" s="11" t="n"/>
      <c r="G110" s="11" t="n"/>
      <c r="H110" s="11" t="n"/>
      <c r="I110" s="37" t="n"/>
      <c r="J110" s="38" t="n"/>
      <c r="K110" s="36" t="n"/>
      <c r="L110" s="36">
        <f>IF(AND(ISNUMBER(K110),ISNUMBER(J110)),K110*J110,"")</f>
        <v/>
      </c>
      <c r="M110" s="11" t="n"/>
      <c r="N110" s="11" t="n"/>
    </row>
    <row r="111">
      <c r="A111" s="9" t="n"/>
      <c r="B111" s="9" t="n"/>
      <c r="C111" s="9" t="n"/>
      <c r="D111" s="33" t="n"/>
      <c r="E111" s="9" t="n"/>
      <c r="F111" s="9" t="n"/>
      <c r="G111" s="9" t="n"/>
      <c r="H111" s="9" t="n"/>
      <c r="I111" s="34" t="n"/>
      <c r="J111" s="35" t="n"/>
      <c r="K111" s="33" t="n"/>
      <c r="L111" s="33">
        <f>IF(AND(ISNUMBER(K111),ISNUMBER(J111)),K111*J111,"")</f>
        <v/>
      </c>
      <c r="M111" s="9" t="n"/>
      <c r="N111" s="9" t="n"/>
    </row>
    <row r="112">
      <c r="A112" s="11" t="n"/>
      <c r="B112" s="11" t="n"/>
      <c r="C112" s="11" t="n"/>
      <c r="D112" s="36" t="n"/>
      <c r="E112" s="11" t="n"/>
      <c r="F112" s="11" t="n"/>
      <c r="G112" s="11" t="n"/>
      <c r="H112" s="11" t="n"/>
      <c r="I112" s="37" t="n"/>
      <c r="J112" s="38" t="n"/>
      <c r="K112" s="36" t="n"/>
      <c r="L112" s="36">
        <f>IF(AND(ISNUMBER(K112),ISNUMBER(J112)),K112*J112,"")</f>
        <v/>
      </c>
      <c r="M112" s="11" t="n"/>
      <c r="N112" s="11" t="n"/>
    </row>
    <row r="113">
      <c r="A113" s="9" t="n"/>
      <c r="B113" s="9" t="n"/>
      <c r="C113" s="9" t="n"/>
      <c r="D113" s="33" t="n"/>
      <c r="E113" s="9" t="n"/>
      <c r="F113" s="9" t="n"/>
      <c r="G113" s="9" t="n"/>
      <c r="H113" s="9" t="n"/>
      <c r="I113" s="34" t="n"/>
      <c r="J113" s="35" t="n"/>
      <c r="K113" s="33" t="n"/>
      <c r="L113" s="33">
        <f>IF(AND(ISNUMBER(K113),ISNUMBER(J113)),K113*J113,"")</f>
        <v/>
      </c>
      <c r="M113" s="9" t="n"/>
      <c r="N113" s="9" t="n"/>
    </row>
    <row r="114">
      <c r="A114" s="11" t="n"/>
      <c r="B114" s="11" t="n"/>
      <c r="C114" s="11" t="n"/>
      <c r="D114" s="36" t="n"/>
      <c r="E114" s="11" t="n"/>
      <c r="F114" s="11" t="n"/>
      <c r="G114" s="11" t="n"/>
      <c r="H114" s="11" t="n"/>
      <c r="I114" s="37" t="n"/>
      <c r="J114" s="38" t="n"/>
      <c r="K114" s="36" t="n"/>
      <c r="L114" s="36">
        <f>IF(AND(ISNUMBER(K114),ISNUMBER(J114)),K114*J114,"")</f>
        <v/>
      </c>
      <c r="M114" s="11" t="n"/>
      <c r="N114" s="11" t="n"/>
    </row>
    <row r="115">
      <c r="A115" s="9" t="n"/>
      <c r="B115" s="9" t="n"/>
      <c r="C115" s="9" t="n"/>
      <c r="D115" s="33" t="n"/>
      <c r="E115" s="9" t="n"/>
      <c r="F115" s="9" t="n"/>
      <c r="G115" s="9" t="n"/>
      <c r="H115" s="9" t="n"/>
      <c r="I115" s="34" t="n"/>
      <c r="J115" s="35" t="n"/>
      <c r="K115" s="33" t="n"/>
      <c r="L115" s="33">
        <f>IF(AND(ISNUMBER(K115),ISNUMBER(J115)),K115*J115,"")</f>
        <v/>
      </c>
      <c r="M115" s="9" t="n"/>
      <c r="N115" s="9" t="n"/>
    </row>
    <row r="116">
      <c r="A116" s="11" t="n"/>
      <c r="B116" s="11" t="n"/>
      <c r="C116" s="11" t="n"/>
      <c r="D116" s="36" t="n"/>
      <c r="E116" s="11" t="n"/>
      <c r="F116" s="11" t="n"/>
      <c r="G116" s="11" t="n"/>
      <c r="H116" s="11" t="n"/>
      <c r="I116" s="37" t="n"/>
      <c r="J116" s="38" t="n"/>
      <c r="K116" s="36" t="n"/>
      <c r="L116" s="36">
        <f>IF(AND(ISNUMBER(K116),ISNUMBER(J116)),K116*J116,"")</f>
        <v/>
      </c>
      <c r="M116" s="11" t="n"/>
      <c r="N116" s="11" t="n"/>
    </row>
    <row r="117">
      <c r="A117" s="9" t="n"/>
      <c r="B117" s="9" t="n"/>
      <c r="C117" s="9" t="n"/>
      <c r="D117" s="33" t="n"/>
      <c r="E117" s="9" t="n"/>
      <c r="F117" s="9" t="n"/>
      <c r="G117" s="9" t="n"/>
      <c r="H117" s="9" t="n"/>
      <c r="I117" s="34" t="n"/>
      <c r="J117" s="35" t="n"/>
      <c r="K117" s="33" t="n"/>
      <c r="L117" s="33">
        <f>IF(AND(ISNUMBER(K117),ISNUMBER(J117)),K117*J117,"")</f>
        <v/>
      </c>
      <c r="M117" s="9" t="n"/>
      <c r="N117" s="9" t="n"/>
    </row>
    <row r="118">
      <c r="A118" s="11" t="n"/>
      <c r="B118" s="11" t="n"/>
      <c r="C118" s="11" t="n"/>
      <c r="D118" s="36" t="n"/>
      <c r="E118" s="11" t="n"/>
      <c r="F118" s="11" t="n"/>
      <c r="G118" s="11" t="n"/>
      <c r="H118" s="11" t="n"/>
      <c r="I118" s="37" t="n"/>
      <c r="J118" s="38" t="n"/>
      <c r="K118" s="36" t="n"/>
      <c r="L118" s="36">
        <f>IF(AND(ISNUMBER(K118),ISNUMBER(J118)),K118*J118,"")</f>
        <v/>
      </c>
      <c r="M118" s="11" t="n"/>
      <c r="N118" s="11" t="n"/>
    </row>
    <row r="119">
      <c r="A119" s="9" t="n"/>
      <c r="B119" s="9" t="n"/>
      <c r="C119" s="9" t="n"/>
      <c r="D119" s="33" t="n"/>
      <c r="E119" s="9" t="n"/>
      <c r="F119" s="9" t="n"/>
      <c r="G119" s="9" t="n"/>
      <c r="H119" s="9" t="n"/>
      <c r="I119" s="34" t="n"/>
      <c r="J119" s="35" t="n"/>
      <c r="K119" s="33" t="n"/>
      <c r="L119" s="33">
        <f>IF(AND(ISNUMBER(K119),ISNUMBER(J119)),K119*J119,"")</f>
        <v/>
      </c>
      <c r="M119" s="9" t="n"/>
      <c r="N119" s="9" t="n"/>
    </row>
    <row r="120">
      <c r="A120" s="11" t="n"/>
      <c r="B120" s="11" t="n"/>
      <c r="C120" s="11" t="n"/>
      <c r="D120" s="36" t="n"/>
      <c r="E120" s="11" t="n"/>
      <c r="F120" s="11" t="n"/>
      <c r="G120" s="11" t="n"/>
      <c r="H120" s="11" t="n"/>
      <c r="I120" s="37" t="n"/>
      <c r="J120" s="38" t="n"/>
      <c r="K120" s="36" t="n"/>
      <c r="L120" s="36">
        <f>IF(AND(ISNUMBER(K120),ISNUMBER(J120)),K120*J120,"")</f>
        <v/>
      </c>
      <c r="M120" s="11" t="n"/>
      <c r="N120" s="11" t="n"/>
    </row>
    <row r="121">
      <c r="A121" s="9" t="n"/>
      <c r="B121" s="9" t="n"/>
      <c r="C121" s="9" t="n"/>
      <c r="D121" s="33" t="n"/>
      <c r="E121" s="9" t="n"/>
      <c r="F121" s="9" t="n"/>
      <c r="G121" s="9" t="n"/>
      <c r="H121" s="9" t="n"/>
      <c r="I121" s="34" t="n"/>
      <c r="J121" s="35" t="n"/>
      <c r="K121" s="33" t="n"/>
      <c r="L121" s="33">
        <f>IF(AND(ISNUMBER(K121),ISNUMBER(J121)),K121*J121,"")</f>
        <v/>
      </c>
      <c r="M121" s="9" t="n"/>
      <c r="N121" s="9" t="n"/>
    </row>
    <row r="122">
      <c r="A122" s="11" t="n"/>
      <c r="B122" s="11" t="n"/>
      <c r="C122" s="11" t="n"/>
      <c r="D122" s="36" t="n"/>
      <c r="E122" s="11" t="n"/>
      <c r="F122" s="11" t="n"/>
      <c r="G122" s="11" t="n"/>
      <c r="H122" s="11" t="n"/>
      <c r="I122" s="37" t="n"/>
      <c r="J122" s="38" t="n"/>
      <c r="K122" s="36" t="n"/>
      <c r="L122" s="36">
        <f>IF(AND(ISNUMBER(K122),ISNUMBER(J122)),K122*J122,"")</f>
        <v/>
      </c>
      <c r="M122" s="11" t="n"/>
      <c r="N122" s="11" t="n"/>
    </row>
    <row r="123">
      <c r="A123" s="9" t="n"/>
      <c r="B123" s="9" t="n"/>
      <c r="C123" s="9" t="n"/>
      <c r="D123" s="33" t="n"/>
      <c r="E123" s="9" t="n"/>
      <c r="F123" s="9" t="n"/>
      <c r="G123" s="9" t="n"/>
      <c r="H123" s="9" t="n"/>
      <c r="I123" s="34" t="n"/>
      <c r="J123" s="35" t="n"/>
      <c r="K123" s="33" t="n"/>
      <c r="L123" s="33">
        <f>IF(AND(ISNUMBER(K123),ISNUMBER(J123)),K123*J123,"")</f>
        <v/>
      </c>
      <c r="M123" s="9" t="n"/>
      <c r="N123" s="9" t="n"/>
    </row>
    <row r="124">
      <c r="A124" s="11" t="n"/>
      <c r="B124" s="11" t="n"/>
      <c r="C124" s="11" t="n"/>
      <c r="D124" s="36" t="n"/>
      <c r="E124" s="11" t="n"/>
      <c r="F124" s="11" t="n"/>
      <c r="G124" s="11" t="n"/>
      <c r="H124" s="11" t="n"/>
      <c r="I124" s="37" t="n"/>
      <c r="J124" s="38" t="n"/>
      <c r="K124" s="36" t="n"/>
      <c r="L124" s="36">
        <f>IF(AND(ISNUMBER(K124),ISNUMBER(J124)),K124*J124,"")</f>
        <v/>
      </c>
      <c r="M124" s="11" t="n"/>
      <c r="N124" s="11" t="n"/>
    </row>
    <row r="125">
      <c r="A125" s="9" t="n"/>
      <c r="B125" s="9" t="n"/>
      <c r="C125" s="9" t="n"/>
      <c r="D125" s="33" t="n"/>
      <c r="E125" s="9" t="n"/>
      <c r="F125" s="9" t="n"/>
      <c r="G125" s="9" t="n"/>
      <c r="H125" s="9" t="n"/>
      <c r="I125" s="34" t="n"/>
      <c r="J125" s="35" t="n"/>
      <c r="K125" s="33" t="n"/>
      <c r="L125" s="33">
        <f>IF(AND(ISNUMBER(K125),ISNUMBER(J125)),K125*J125,"")</f>
        <v/>
      </c>
      <c r="M125" s="9" t="n"/>
      <c r="N125" s="9" t="n"/>
    </row>
    <row r="126">
      <c r="A126" s="11" t="n"/>
      <c r="B126" s="11" t="n"/>
      <c r="C126" s="11" t="n"/>
      <c r="D126" s="36" t="n"/>
      <c r="E126" s="11" t="n"/>
      <c r="F126" s="11" t="n"/>
      <c r="G126" s="11" t="n"/>
      <c r="H126" s="11" t="n"/>
      <c r="I126" s="37" t="n"/>
      <c r="J126" s="38" t="n"/>
      <c r="K126" s="36" t="n"/>
      <c r="L126" s="36">
        <f>IF(AND(ISNUMBER(K126),ISNUMBER(J126)),K126*J126,"")</f>
        <v/>
      </c>
      <c r="M126" s="11" t="n"/>
      <c r="N126" s="11" t="n"/>
    </row>
    <row r="127">
      <c r="A127" s="9" t="n"/>
      <c r="B127" s="9" t="n"/>
      <c r="C127" s="9" t="n"/>
      <c r="D127" s="33" t="n"/>
      <c r="E127" s="9" t="n"/>
      <c r="F127" s="9" t="n"/>
      <c r="G127" s="9" t="n"/>
      <c r="H127" s="9" t="n"/>
      <c r="I127" s="34" t="n"/>
      <c r="J127" s="35" t="n"/>
      <c r="K127" s="33" t="n"/>
      <c r="L127" s="33">
        <f>IF(AND(ISNUMBER(K127),ISNUMBER(J127)),K127*J127,"")</f>
        <v/>
      </c>
      <c r="M127" s="9" t="n"/>
      <c r="N127" s="9" t="n"/>
    </row>
    <row r="128">
      <c r="A128" s="11" t="n"/>
      <c r="B128" s="11" t="n"/>
      <c r="C128" s="11" t="n"/>
      <c r="D128" s="36" t="n"/>
      <c r="E128" s="11" t="n"/>
      <c r="F128" s="11" t="n"/>
      <c r="G128" s="11" t="n"/>
      <c r="H128" s="11" t="n"/>
      <c r="I128" s="37" t="n"/>
      <c r="J128" s="38" t="n"/>
      <c r="K128" s="36" t="n"/>
      <c r="L128" s="36">
        <f>IF(AND(ISNUMBER(K128),ISNUMBER(J128)),K128*J128,"")</f>
        <v/>
      </c>
      <c r="M128" s="11" t="n"/>
      <c r="N128" s="11" t="n"/>
    </row>
    <row r="129">
      <c r="A129" s="9" t="n"/>
      <c r="B129" s="9" t="n"/>
      <c r="C129" s="9" t="n"/>
      <c r="D129" s="33" t="n"/>
      <c r="E129" s="9" t="n"/>
      <c r="F129" s="9" t="n"/>
      <c r="G129" s="9" t="n"/>
      <c r="H129" s="9" t="n"/>
      <c r="I129" s="34" t="n"/>
      <c r="J129" s="35" t="n"/>
      <c r="K129" s="33" t="n"/>
      <c r="L129" s="33">
        <f>IF(AND(ISNUMBER(K129),ISNUMBER(J129)),K129*J129,"")</f>
        <v/>
      </c>
      <c r="M129" s="9" t="n"/>
      <c r="N129" s="9" t="n"/>
    </row>
    <row r="130">
      <c r="A130" s="11" t="n"/>
      <c r="B130" s="11" t="n"/>
      <c r="C130" s="11" t="n"/>
      <c r="D130" s="36" t="n"/>
      <c r="E130" s="11" t="n"/>
      <c r="F130" s="11" t="n"/>
      <c r="G130" s="11" t="n"/>
      <c r="H130" s="11" t="n"/>
      <c r="I130" s="37" t="n"/>
      <c r="J130" s="38" t="n"/>
      <c r="K130" s="36" t="n"/>
      <c r="L130" s="36">
        <f>IF(AND(ISNUMBER(K130),ISNUMBER(J130)),K130*J130,"")</f>
        <v/>
      </c>
      <c r="M130" s="11" t="n"/>
      <c r="N130" s="11" t="n"/>
    </row>
    <row r="131">
      <c r="A131" s="9" t="n"/>
      <c r="B131" s="9" t="n"/>
      <c r="C131" s="9" t="n"/>
      <c r="D131" s="33" t="n"/>
      <c r="E131" s="9" t="n"/>
      <c r="F131" s="9" t="n"/>
      <c r="G131" s="9" t="n"/>
      <c r="H131" s="9" t="n"/>
      <c r="I131" s="34" t="n"/>
      <c r="J131" s="35" t="n"/>
      <c r="K131" s="33" t="n"/>
      <c r="L131" s="33">
        <f>IF(AND(ISNUMBER(K131),ISNUMBER(J131)),K131*J131,"")</f>
        <v/>
      </c>
      <c r="M131" s="9" t="n"/>
      <c r="N131" s="9" t="n"/>
    </row>
    <row r="132">
      <c r="A132" s="11" t="n"/>
      <c r="B132" s="11" t="n"/>
      <c r="C132" s="11" t="n"/>
      <c r="D132" s="36" t="n"/>
      <c r="E132" s="11" t="n"/>
      <c r="F132" s="11" t="n"/>
      <c r="G132" s="11" t="n"/>
      <c r="H132" s="11" t="n"/>
      <c r="I132" s="37" t="n"/>
      <c r="J132" s="38" t="n"/>
      <c r="K132" s="36" t="n"/>
      <c r="L132" s="36">
        <f>IF(AND(ISNUMBER(K132),ISNUMBER(J132)),K132*J132,"")</f>
        <v/>
      </c>
      <c r="M132" s="11" t="n"/>
      <c r="N132" s="11" t="n"/>
    </row>
    <row r="133">
      <c r="A133" s="9" t="n"/>
      <c r="B133" s="9" t="n"/>
      <c r="C133" s="9" t="n"/>
      <c r="D133" s="33" t="n"/>
      <c r="E133" s="9" t="n"/>
      <c r="F133" s="9" t="n"/>
      <c r="G133" s="9" t="n"/>
      <c r="H133" s="9" t="n"/>
      <c r="I133" s="34" t="n"/>
      <c r="J133" s="35" t="n"/>
      <c r="K133" s="33" t="n"/>
      <c r="L133" s="33">
        <f>IF(AND(ISNUMBER(K133),ISNUMBER(J133)),K133*J133,"")</f>
        <v/>
      </c>
      <c r="M133" s="9" t="n"/>
      <c r="N133" s="9" t="n"/>
    </row>
    <row r="134">
      <c r="A134" s="11" t="n"/>
      <c r="B134" s="11" t="n"/>
      <c r="C134" s="11" t="n"/>
      <c r="D134" s="36" t="n"/>
      <c r="E134" s="11" t="n"/>
      <c r="F134" s="11" t="n"/>
      <c r="G134" s="11" t="n"/>
      <c r="H134" s="11" t="n"/>
      <c r="I134" s="37" t="n"/>
      <c r="J134" s="38" t="n"/>
      <c r="K134" s="36" t="n"/>
      <c r="L134" s="36">
        <f>IF(AND(ISNUMBER(K134),ISNUMBER(J134)),K134*J134,"")</f>
        <v/>
      </c>
      <c r="M134" s="11" t="n"/>
      <c r="N134" s="11" t="n"/>
    </row>
    <row r="135">
      <c r="A135" s="9" t="n"/>
      <c r="B135" s="9" t="n"/>
      <c r="C135" s="9" t="n"/>
      <c r="D135" s="33" t="n"/>
      <c r="E135" s="9" t="n"/>
      <c r="F135" s="9" t="n"/>
      <c r="G135" s="9" t="n"/>
      <c r="H135" s="9" t="n"/>
      <c r="I135" s="34" t="n"/>
      <c r="J135" s="35" t="n"/>
      <c r="K135" s="33" t="n"/>
      <c r="L135" s="33">
        <f>IF(AND(ISNUMBER(K135),ISNUMBER(J135)),K135*J135,"")</f>
        <v/>
      </c>
      <c r="M135" s="9" t="n"/>
      <c r="N135" s="9" t="n"/>
    </row>
    <row r="136">
      <c r="A136" s="11" t="n"/>
      <c r="B136" s="11" t="n"/>
      <c r="C136" s="11" t="n"/>
      <c r="D136" s="36" t="n"/>
      <c r="E136" s="11" t="n"/>
      <c r="F136" s="11" t="n"/>
      <c r="G136" s="11" t="n"/>
      <c r="H136" s="11" t="n"/>
      <c r="I136" s="37" t="n"/>
      <c r="J136" s="38" t="n"/>
      <c r="K136" s="36" t="n"/>
      <c r="L136" s="36">
        <f>IF(AND(ISNUMBER(K136),ISNUMBER(J136)),K136*J136,"")</f>
        <v/>
      </c>
      <c r="M136" s="11" t="n"/>
      <c r="N136" s="11" t="n"/>
    </row>
    <row r="137">
      <c r="A137" s="9" t="n"/>
      <c r="B137" s="9" t="n"/>
      <c r="C137" s="9" t="n"/>
      <c r="D137" s="33" t="n"/>
      <c r="E137" s="9" t="n"/>
      <c r="F137" s="9" t="n"/>
      <c r="G137" s="9" t="n"/>
      <c r="H137" s="9" t="n"/>
      <c r="I137" s="34" t="n"/>
      <c r="J137" s="35" t="n"/>
      <c r="K137" s="33" t="n"/>
      <c r="L137" s="33">
        <f>IF(AND(ISNUMBER(K137),ISNUMBER(J137)),K137*J137,"")</f>
        <v/>
      </c>
      <c r="M137" s="9" t="n"/>
      <c r="N137" s="9" t="n"/>
    </row>
    <row r="138">
      <c r="A138" s="11" t="n"/>
      <c r="B138" s="11" t="n"/>
      <c r="C138" s="11" t="n"/>
      <c r="D138" s="36" t="n"/>
      <c r="E138" s="11" t="n"/>
      <c r="F138" s="11" t="n"/>
      <c r="G138" s="11" t="n"/>
      <c r="H138" s="11" t="n"/>
      <c r="I138" s="37" t="n"/>
      <c r="J138" s="38" t="n"/>
      <c r="K138" s="36" t="n"/>
      <c r="L138" s="36">
        <f>IF(AND(ISNUMBER(K138),ISNUMBER(J138)),K138*J138,"")</f>
        <v/>
      </c>
      <c r="M138" s="11" t="n"/>
      <c r="N138" s="11" t="n"/>
    </row>
    <row r="139">
      <c r="A139" s="9" t="n"/>
      <c r="B139" s="9" t="n"/>
      <c r="C139" s="9" t="n"/>
      <c r="D139" s="33" t="n"/>
      <c r="E139" s="9" t="n"/>
      <c r="F139" s="9" t="n"/>
      <c r="G139" s="9" t="n"/>
      <c r="H139" s="9" t="n"/>
      <c r="I139" s="34" t="n"/>
      <c r="J139" s="35" t="n"/>
      <c r="K139" s="33" t="n"/>
      <c r="L139" s="33">
        <f>IF(AND(ISNUMBER(K139),ISNUMBER(J139)),K139*J139,"")</f>
        <v/>
      </c>
      <c r="M139" s="9" t="n"/>
      <c r="N139" s="9" t="n"/>
    </row>
    <row r="140">
      <c r="A140" s="11" t="n"/>
      <c r="B140" s="11" t="n"/>
      <c r="C140" s="11" t="n"/>
      <c r="D140" s="36" t="n"/>
      <c r="E140" s="11" t="n"/>
      <c r="F140" s="11" t="n"/>
      <c r="G140" s="11" t="n"/>
      <c r="H140" s="11" t="n"/>
      <c r="I140" s="37" t="n"/>
      <c r="J140" s="38" t="n"/>
      <c r="K140" s="36" t="n"/>
      <c r="L140" s="36">
        <f>IF(AND(ISNUMBER(K140),ISNUMBER(J140)),K140*J140,"")</f>
        <v/>
      </c>
      <c r="M140" s="11" t="n"/>
      <c r="N140" s="11" t="n"/>
    </row>
    <row r="141">
      <c r="A141" s="9" t="n"/>
      <c r="B141" s="9" t="n"/>
      <c r="C141" s="9" t="n"/>
      <c r="D141" s="33" t="n"/>
      <c r="E141" s="9" t="n"/>
      <c r="F141" s="9" t="n"/>
      <c r="G141" s="9" t="n"/>
      <c r="H141" s="9" t="n"/>
      <c r="I141" s="34" t="n"/>
      <c r="J141" s="35" t="n"/>
      <c r="K141" s="33" t="n"/>
      <c r="L141" s="33">
        <f>IF(AND(ISNUMBER(K141),ISNUMBER(J141)),K141*J141,"")</f>
        <v/>
      </c>
      <c r="M141" s="9" t="n"/>
      <c r="N141" s="9" t="n"/>
    </row>
    <row r="142">
      <c r="A142" s="11" t="n"/>
      <c r="B142" s="11" t="n"/>
      <c r="C142" s="11" t="n"/>
      <c r="D142" s="36" t="n"/>
      <c r="E142" s="11" t="n"/>
      <c r="F142" s="11" t="n"/>
      <c r="G142" s="11" t="n"/>
      <c r="H142" s="11" t="n"/>
      <c r="I142" s="37" t="n"/>
      <c r="J142" s="38" t="n"/>
      <c r="K142" s="36" t="n"/>
      <c r="L142" s="36">
        <f>IF(AND(ISNUMBER(K142),ISNUMBER(J142)),K142*J142,"")</f>
        <v/>
      </c>
      <c r="M142" s="11" t="n"/>
      <c r="N142" s="11" t="n"/>
    </row>
    <row r="143">
      <c r="A143" s="9" t="n"/>
      <c r="B143" s="9" t="n"/>
      <c r="C143" s="9" t="n"/>
      <c r="D143" s="33" t="n"/>
      <c r="E143" s="9" t="n"/>
      <c r="F143" s="9" t="n"/>
      <c r="G143" s="9" t="n"/>
      <c r="H143" s="9" t="n"/>
      <c r="I143" s="34" t="n"/>
      <c r="J143" s="35" t="n"/>
      <c r="K143" s="33" t="n"/>
      <c r="L143" s="33">
        <f>IF(AND(ISNUMBER(K143),ISNUMBER(J143)),K143*J143,"")</f>
        <v/>
      </c>
      <c r="M143" s="9" t="n"/>
      <c r="N143" s="9" t="n"/>
    </row>
    <row r="144">
      <c r="A144" s="11" t="n"/>
      <c r="B144" s="11" t="n"/>
      <c r="C144" s="11" t="n"/>
      <c r="D144" s="36" t="n"/>
      <c r="E144" s="11" t="n"/>
      <c r="F144" s="11" t="n"/>
      <c r="G144" s="11" t="n"/>
      <c r="H144" s="11" t="n"/>
      <c r="I144" s="37" t="n"/>
      <c r="J144" s="38" t="n"/>
      <c r="K144" s="36" t="n"/>
      <c r="L144" s="36">
        <f>IF(AND(ISNUMBER(K144),ISNUMBER(J144)),K144*J144,"")</f>
        <v/>
      </c>
      <c r="M144" s="11" t="n"/>
      <c r="N144" s="11" t="n"/>
    </row>
    <row r="145">
      <c r="A145" s="9" t="n"/>
      <c r="B145" s="9" t="n"/>
      <c r="C145" s="9" t="n"/>
      <c r="D145" s="33" t="n"/>
      <c r="E145" s="9" t="n"/>
      <c r="F145" s="9" t="n"/>
      <c r="G145" s="9" t="n"/>
      <c r="H145" s="9" t="n"/>
      <c r="I145" s="34" t="n"/>
      <c r="J145" s="35" t="n"/>
      <c r="K145" s="33" t="n"/>
      <c r="L145" s="33">
        <f>IF(AND(ISNUMBER(K145),ISNUMBER(J145)),K145*J145,"")</f>
        <v/>
      </c>
      <c r="M145" s="9" t="n"/>
      <c r="N145" s="9" t="n"/>
    </row>
    <row r="146">
      <c r="A146" s="11" t="n"/>
      <c r="B146" s="11" t="n"/>
      <c r="C146" s="11" t="n"/>
      <c r="D146" s="36" t="n"/>
      <c r="E146" s="11" t="n"/>
      <c r="F146" s="11" t="n"/>
      <c r="G146" s="11" t="n"/>
      <c r="H146" s="11" t="n"/>
      <c r="I146" s="37" t="n"/>
      <c r="J146" s="38" t="n"/>
      <c r="K146" s="36" t="n"/>
      <c r="L146" s="36">
        <f>IF(AND(ISNUMBER(K146),ISNUMBER(J146)),K146*J146,"")</f>
        <v/>
      </c>
      <c r="M146" s="11" t="n"/>
      <c r="N146" s="11" t="n"/>
    </row>
    <row r="147">
      <c r="A147" s="9" t="n"/>
      <c r="B147" s="9" t="n"/>
      <c r="C147" s="9" t="n"/>
      <c r="D147" s="33" t="n"/>
      <c r="E147" s="9" t="n"/>
      <c r="F147" s="9" t="n"/>
      <c r="G147" s="9" t="n"/>
      <c r="H147" s="9" t="n"/>
      <c r="I147" s="34" t="n"/>
      <c r="J147" s="35" t="n"/>
      <c r="K147" s="33" t="n"/>
      <c r="L147" s="33">
        <f>IF(AND(ISNUMBER(K147),ISNUMBER(J147)),K147*J147,"")</f>
        <v/>
      </c>
      <c r="M147" s="9" t="n"/>
      <c r="N147" s="9" t="n"/>
    </row>
    <row r="148">
      <c r="A148" s="11" t="n"/>
      <c r="B148" s="11" t="n"/>
      <c r="C148" s="11" t="n"/>
      <c r="D148" s="36" t="n"/>
      <c r="E148" s="11" t="n"/>
      <c r="F148" s="11" t="n"/>
      <c r="G148" s="11" t="n"/>
      <c r="H148" s="11" t="n"/>
      <c r="I148" s="37" t="n"/>
      <c r="J148" s="38" t="n"/>
      <c r="K148" s="36" t="n"/>
      <c r="L148" s="36">
        <f>IF(AND(ISNUMBER(K148),ISNUMBER(J148)),K148*J148,"")</f>
        <v/>
      </c>
      <c r="M148" s="11" t="n"/>
      <c r="N148" s="11" t="n"/>
    </row>
    <row r="149">
      <c r="A149" s="9" t="n"/>
      <c r="B149" s="9" t="n"/>
      <c r="C149" s="9" t="n"/>
      <c r="D149" s="33" t="n"/>
      <c r="E149" s="9" t="n"/>
      <c r="F149" s="9" t="n"/>
      <c r="G149" s="9" t="n"/>
      <c r="H149" s="9" t="n"/>
      <c r="I149" s="34" t="n"/>
      <c r="J149" s="35" t="n"/>
      <c r="K149" s="33" t="n"/>
      <c r="L149" s="33">
        <f>IF(AND(ISNUMBER(K149),ISNUMBER(J149)),K149*J149,"")</f>
        <v/>
      </c>
      <c r="M149" s="9" t="n"/>
      <c r="N149" s="9" t="n"/>
    </row>
    <row r="150">
      <c r="A150" s="11" t="n"/>
      <c r="B150" s="11" t="n"/>
      <c r="C150" s="11" t="n"/>
      <c r="D150" s="36" t="n"/>
      <c r="E150" s="11" t="n"/>
      <c r="F150" s="11" t="n"/>
      <c r="G150" s="11" t="n"/>
      <c r="H150" s="11" t="n"/>
      <c r="I150" s="37" t="n"/>
      <c r="J150" s="38" t="n"/>
      <c r="K150" s="36" t="n"/>
      <c r="L150" s="36">
        <f>IF(AND(ISNUMBER(K150),ISNUMBER(J150)),K150*J150,"")</f>
        <v/>
      </c>
      <c r="M150" s="11" t="n"/>
      <c r="N150" s="11" t="n"/>
    </row>
    <row r="151">
      <c r="A151" s="9" t="n"/>
      <c r="B151" s="9" t="n"/>
      <c r="C151" s="9" t="n"/>
      <c r="D151" s="33" t="n"/>
      <c r="E151" s="9" t="n"/>
      <c r="F151" s="9" t="n"/>
      <c r="G151" s="9" t="n"/>
      <c r="H151" s="9" t="n"/>
      <c r="I151" s="34" t="n"/>
      <c r="J151" s="35" t="n"/>
      <c r="K151" s="33" t="n"/>
      <c r="L151" s="33">
        <f>IF(AND(ISNUMBER(K151),ISNUMBER(J151)),K151*J151,"")</f>
        <v/>
      </c>
      <c r="M151" s="9" t="n"/>
      <c r="N151" s="9" t="n"/>
    </row>
    <row r="152">
      <c r="A152" s="11" t="n"/>
      <c r="B152" s="11" t="n"/>
      <c r="C152" s="11" t="n"/>
      <c r="D152" s="36" t="n"/>
      <c r="E152" s="11" t="n"/>
      <c r="F152" s="11" t="n"/>
      <c r="G152" s="11" t="n"/>
      <c r="H152" s="11" t="n"/>
      <c r="I152" s="37" t="n"/>
      <c r="J152" s="38" t="n"/>
      <c r="K152" s="36" t="n"/>
      <c r="L152" s="36">
        <f>IF(AND(ISNUMBER(K152),ISNUMBER(J152)),K152*J152,"")</f>
        <v/>
      </c>
      <c r="M152" s="11" t="n"/>
      <c r="N152" s="11" t="n"/>
    </row>
    <row r="153">
      <c r="A153" s="9" t="n"/>
      <c r="B153" s="9" t="n"/>
      <c r="C153" s="9" t="n"/>
      <c r="D153" s="33" t="n"/>
      <c r="E153" s="9" t="n"/>
      <c r="F153" s="9" t="n"/>
      <c r="G153" s="9" t="n"/>
      <c r="H153" s="9" t="n"/>
      <c r="I153" s="34" t="n"/>
      <c r="J153" s="35" t="n"/>
      <c r="K153" s="33" t="n"/>
      <c r="L153" s="33">
        <f>IF(AND(ISNUMBER(K153),ISNUMBER(J153)),K153*J153,"")</f>
        <v/>
      </c>
      <c r="M153" s="9" t="n"/>
      <c r="N153" s="9" t="n"/>
    </row>
    <row r="154">
      <c r="A154" s="11" t="n"/>
      <c r="B154" s="11" t="n"/>
      <c r="C154" s="11" t="n"/>
      <c r="D154" s="36" t="n"/>
      <c r="E154" s="11" t="n"/>
      <c r="F154" s="11" t="n"/>
      <c r="G154" s="11" t="n"/>
      <c r="H154" s="11" t="n"/>
      <c r="I154" s="37" t="n"/>
      <c r="J154" s="38" t="n"/>
      <c r="K154" s="36" t="n"/>
      <c r="L154" s="36">
        <f>IF(AND(ISNUMBER(K154),ISNUMBER(J154)),K154*J154,"")</f>
        <v/>
      </c>
      <c r="M154" s="11" t="n"/>
      <c r="N154" s="11" t="n"/>
    </row>
    <row r="155">
      <c r="A155" s="9" t="n"/>
      <c r="B155" s="9" t="n"/>
      <c r="C155" s="9" t="n"/>
      <c r="D155" s="33" t="n"/>
      <c r="E155" s="9" t="n"/>
      <c r="F155" s="9" t="n"/>
      <c r="G155" s="9" t="n"/>
      <c r="H155" s="9" t="n"/>
      <c r="I155" s="34" t="n"/>
      <c r="J155" s="35" t="n"/>
      <c r="K155" s="33" t="n"/>
      <c r="L155" s="33">
        <f>IF(AND(ISNUMBER(K155),ISNUMBER(J155)),K155*J155,"")</f>
        <v/>
      </c>
      <c r="M155" s="9" t="n"/>
      <c r="N155" s="9" t="n"/>
    </row>
    <row r="156">
      <c r="A156" s="11" t="n"/>
      <c r="B156" s="11" t="n"/>
      <c r="C156" s="11" t="n"/>
      <c r="D156" s="36" t="n"/>
      <c r="E156" s="11" t="n"/>
      <c r="F156" s="11" t="n"/>
      <c r="G156" s="11" t="n"/>
      <c r="H156" s="11" t="n"/>
      <c r="I156" s="37" t="n"/>
      <c r="J156" s="38" t="n"/>
      <c r="K156" s="36" t="n"/>
      <c r="L156" s="36">
        <f>IF(AND(ISNUMBER(K156),ISNUMBER(J156)),K156*J156,"")</f>
        <v/>
      </c>
      <c r="M156" s="11" t="n"/>
      <c r="N156" s="11" t="n"/>
    </row>
    <row r="157">
      <c r="A157" s="9" t="n"/>
      <c r="B157" s="9" t="n"/>
      <c r="C157" s="9" t="n"/>
      <c r="D157" s="33" t="n"/>
      <c r="E157" s="9" t="n"/>
      <c r="F157" s="9" t="n"/>
      <c r="G157" s="9" t="n"/>
      <c r="H157" s="9" t="n"/>
      <c r="I157" s="34" t="n"/>
      <c r="J157" s="35" t="n"/>
      <c r="K157" s="33" t="n"/>
      <c r="L157" s="33">
        <f>IF(AND(ISNUMBER(K157),ISNUMBER(J157)),K157*J157,"")</f>
        <v/>
      </c>
      <c r="M157" s="9" t="n"/>
      <c r="N157" s="9" t="n"/>
    </row>
    <row r="158">
      <c r="A158" s="11" t="n"/>
      <c r="B158" s="11" t="n"/>
      <c r="C158" s="11" t="n"/>
      <c r="D158" s="36" t="n"/>
      <c r="E158" s="11" t="n"/>
      <c r="F158" s="11" t="n"/>
      <c r="G158" s="11" t="n"/>
      <c r="H158" s="11" t="n"/>
      <c r="I158" s="37" t="n"/>
      <c r="J158" s="38" t="n"/>
      <c r="K158" s="36" t="n"/>
      <c r="L158" s="36">
        <f>IF(AND(ISNUMBER(K158),ISNUMBER(J158)),K158*J158,"")</f>
        <v/>
      </c>
      <c r="M158" s="11" t="n"/>
      <c r="N158" s="11" t="n"/>
    </row>
    <row r="159">
      <c r="A159" s="9" t="n"/>
      <c r="B159" s="9" t="n"/>
      <c r="C159" s="9" t="n"/>
      <c r="D159" s="33" t="n"/>
      <c r="E159" s="9" t="n"/>
      <c r="F159" s="9" t="n"/>
      <c r="G159" s="9" t="n"/>
      <c r="H159" s="9" t="n"/>
      <c r="I159" s="34" t="n"/>
      <c r="J159" s="35" t="n"/>
      <c r="K159" s="33" t="n"/>
      <c r="L159" s="33">
        <f>IF(AND(ISNUMBER(K159),ISNUMBER(J159)),K159*J159,"")</f>
        <v/>
      </c>
      <c r="M159" s="9" t="n"/>
      <c r="N159" s="9" t="n"/>
    </row>
    <row r="160">
      <c r="A160" s="11" t="n"/>
      <c r="B160" s="11" t="n"/>
      <c r="C160" s="11" t="n"/>
      <c r="D160" s="36" t="n"/>
      <c r="E160" s="11" t="n"/>
      <c r="F160" s="11" t="n"/>
      <c r="G160" s="11" t="n"/>
      <c r="H160" s="11" t="n"/>
      <c r="I160" s="37" t="n"/>
      <c r="J160" s="38" t="n"/>
      <c r="K160" s="36" t="n"/>
      <c r="L160" s="36">
        <f>IF(AND(ISNUMBER(K160),ISNUMBER(J160)),K160*J160,"")</f>
        <v/>
      </c>
      <c r="M160" s="11" t="n"/>
      <c r="N160" s="11" t="n"/>
    </row>
    <row r="161">
      <c r="A161" s="9" t="n"/>
      <c r="B161" s="9" t="n"/>
      <c r="C161" s="9" t="n"/>
      <c r="D161" s="33" t="n"/>
      <c r="E161" s="9" t="n"/>
      <c r="F161" s="9" t="n"/>
      <c r="G161" s="9" t="n"/>
      <c r="H161" s="9" t="n"/>
      <c r="I161" s="34" t="n"/>
      <c r="J161" s="35" t="n"/>
      <c r="K161" s="33" t="n"/>
      <c r="L161" s="33">
        <f>IF(AND(ISNUMBER(K161),ISNUMBER(J161)),K161*J161,"")</f>
        <v/>
      </c>
      <c r="M161" s="9" t="n"/>
      <c r="N161" s="9" t="n"/>
    </row>
    <row r="162">
      <c r="A162" s="11" t="n"/>
      <c r="B162" s="11" t="n"/>
      <c r="C162" s="11" t="n"/>
      <c r="D162" s="36" t="n"/>
      <c r="E162" s="11" t="n"/>
      <c r="F162" s="11" t="n"/>
      <c r="G162" s="11" t="n"/>
      <c r="H162" s="11" t="n"/>
      <c r="I162" s="37" t="n"/>
      <c r="J162" s="38" t="n"/>
      <c r="K162" s="36" t="n"/>
      <c r="L162" s="36">
        <f>IF(AND(ISNUMBER(K162),ISNUMBER(J162)),K162*J162,"")</f>
        <v/>
      </c>
      <c r="M162" s="11" t="n"/>
      <c r="N162" s="11" t="n"/>
    </row>
    <row r="163">
      <c r="A163" s="9" t="n"/>
      <c r="B163" s="9" t="n"/>
      <c r="C163" s="9" t="n"/>
      <c r="D163" s="33" t="n"/>
      <c r="E163" s="9" t="n"/>
      <c r="F163" s="9" t="n"/>
      <c r="G163" s="9" t="n"/>
      <c r="H163" s="9" t="n"/>
      <c r="I163" s="34" t="n"/>
      <c r="J163" s="35" t="n"/>
      <c r="K163" s="33" t="n"/>
      <c r="L163" s="33">
        <f>IF(AND(ISNUMBER(K163),ISNUMBER(J163)),K163*J163,"")</f>
        <v/>
      </c>
      <c r="M163" s="9" t="n"/>
      <c r="N163" s="9" t="n"/>
    </row>
    <row r="164">
      <c r="A164" s="11" t="n"/>
      <c r="B164" s="11" t="n"/>
      <c r="C164" s="11" t="n"/>
      <c r="D164" s="36" t="n"/>
      <c r="E164" s="11" t="n"/>
      <c r="F164" s="11" t="n"/>
      <c r="G164" s="11" t="n"/>
      <c r="H164" s="11" t="n"/>
      <c r="I164" s="37" t="n"/>
      <c r="J164" s="38" t="n"/>
      <c r="K164" s="36" t="n"/>
      <c r="L164" s="36">
        <f>IF(AND(ISNUMBER(K164),ISNUMBER(J164)),K164*J164,"")</f>
        <v/>
      </c>
      <c r="M164" s="11" t="n"/>
      <c r="N164" s="11" t="n"/>
    </row>
    <row r="165">
      <c r="A165" s="9" t="n"/>
      <c r="B165" s="9" t="n"/>
      <c r="C165" s="9" t="n"/>
      <c r="D165" s="33" t="n"/>
      <c r="E165" s="9" t="n"/>
      <c r="F165" s="9" t="n"/>
      <c r="G165" s="9" t="n"/>
      <c r="H165" s="9" t="n"/>
      <c r="I165" s="34" t="n"/>
      <c r="J165" s="35" t="n"/>
      <c r="K165" s="33" t="n"/>
      <c r="L165" s="33">
        <f>IF(AND(ISNUMBER(K165),ISNUMBER(J165)),K165*J165,"")</f>
        <v/>
      </c>
      <c r="M165" s="9" t="n"/>
      <c r="N165" s="9" t="n"/>
    </row>
    <row r="166">
      <c r="A166" s="11" t="n"/>
      <c r="B166" s="11" t="n"/>
      <c r="C166" s="11" t="n"/>
      <c r="D166" s="36" t="n"/>
      <c r="E166" s="11" t="n"/>
      <c r="F166" s="11" t="n"/>
      <c r="G166" s="11" t="n"/>
      <c r="H166" s="11" t="n"/>
      <c r="I166" s="37" t="n"/>
      <c r="J166" s="38" t="n"/>
      <c r="K166" s="36" t="n"/>
      <c r="L166" s="36">
        <f>IF(AND(ISNUMBER(K166),ISNUMBER(J166)),K166*J166,"")</f>
        <v/>
      </c>
      <c r="M166" s="11" t="n"/>
      <c r="N166" s="11" t="n"/>
    </row>
    <row r="167">
      <c r="A167" s="9" t="n"/>
      <c r="B167" s="9" t="n"/>
      <c r="C167" s="9" t="n"/>
      <c r="D167" s="33" t="n"/>
      <c r="E167" s="9" t="n"/>
      <c r="F167" s="9" t="n"/>
      <c r="G167" s="9" t="n"/>
      <c r="H167" s="9" t="n"/>
      <c r="I167" s="34" t="n"/>
      <c r="J167" s="35" t="n"/>
      <c r="K167" s="33" t="n"/>
      <c r="L167" s="33">
        <f>IF(AND(ISNUMBER(K167),ISNUMBER(J167)),K167*J167,"")</f>
        <v/>
      </c>
      <c r="M167" s="9" t="n"/>
      <c r="N167" s="9" t="n"/>
    </row>
    <row r="168">
      <c r="A168" s="11" t="n"/>
      <c r="B168" s="11" t="n"/>
      <c r="C168" s="11" t="n"/>
      <c r="D168" s="36" t="n"/>
      <c r="E168" s="11" t="n"/>
      <c r="F168" s="11" t="n"/>
      <c r="G168" s="11" t="n"/>
      <c r="H168" s="11" t="n"/>
      <c r="I168" s="37" t="n"/>
      <c r="J168" s="38" t="n"/>
      <c r="K168" s="36" t="n"/>
      <c r="L168" s="36">
        <f>IF(AND(ISNUMBER(K168),ISNUMBER(J168)),K168*J168,"")</f>
        <v/>
      </c>
      <c r="M168" s="11" t="n"/>
      <c r="N168" s="11" t="n"/>
    </row>
    <row r="169">
      <c r="A169" s="9" t="n"/>
      <c r="B169" s="9" t="n"/>
      <c r="C169" s="9" t="n"/>
      <c r="D169" s="33" t="n"/>
      <c r="E169" s="9" t="n"/>
      <c r="F169" s="9" t="n"/>
      <c r="G169" s="9" t="n"/>
      <c r="H169" s="9" t="n"/>
      <c r="I169" s="34" t="n"/>
      <c r="J169" s="35" t="n"/>
      <c r="K169" s="33" t="n"/>
      <c r="L169" s="33">
        <f>IF(AND(ISNUMBER(K169),ISNUMBER(J169)),K169*J169,"")</f>
        <v/>
      </c>
      <c r="M169" s="9" t="n"/>
      <c r="N169" s="9" t="n"/>
    </row>
    <row r="170">
      <c r="A170" s="11" t="n"/>
      <c r="B170" s="11" t="n"/>
      <c r="C170" s="11" t="n"/>
      <c r="D170" s="36" t="n"/>
      <c r="E170" s="11" t="n"/>
      <c r="F170" s="11" t="n"/>
      <c r="G170" s="11" t="n"/>
      <c r="H170" s="11" t="n"/>
      <c r="I170" s="37" t="n"/>
      <c r="J170" s="38" t="n"/>
      <c r="K170" s="36" t="n"/>
      <c r="L170" s="36">
        <f>IF(AND(ISNUMBER(K170),ISNUMBER(J170)),K170*J170,"")</f>
        <v/>
      </c>
      <c r="M170" s="11" t="n"/>
      <c r="N170" s="11" t="n"/>
    </row>
    <row r="171">
      <c r="A171" s="9" t="n"/>
      <c r="B171" s="9" t="n"/>
      <c r="C171" s="9" t="n"/>
      <c r="D171" s="33" t="n"/>
      <c r="E171" s="9" t="n"/>
      <c r="F171" s="9" t="n"/>
      <c r="G171" s="9" t="n"/>
      <c r="H171" s="9" t="n"/>
      <c r="I171" s="34" t="n"/>
      <c r="J171" s="35" t="n"/>
      <c r="K171" s="33" t="n"/>
      <c r="L171" s="33">
        <f>IF(AND(ISNUMBER(K171),ISNUMBER(J171)),K171*J171,"")</f>
        <v/>
      </c>
      <c r="M171" s="9" t="n"/>
      <c r="N171" s="9" t="n"/>
    </row>
    <row r="172">
      <c r="A172" s="11" t="n"/>
      <c r="B172" s="11" t="n"/>
      <c r="C172" s="11" t="n"/>
      <c r="D172" s="36" t="n"/>
      <c r="E172" s="11" t="n"/>
      <c r="F172" s="11" t="n"/>
      <c r="G172" s="11" t="n"/>
      <c r="H172" s="11" t="n"/>
      <c r="I172" s="37" t="n"/>
      <c r="J172" s="38" t="n"/>
      <c r="K172" s="36" t="n"/>
      <c r="L172" s="36">
        <f>IF(AND(ISNUMBER(K172),ISNUMBER(J172)),K172*J172,"")</f>
        <v/>
      </c>
      <c r="M172" s="11" t="n"/>
      <c r="N172" s="11" t="n"/>
    </row>
    <row r="173">
      <c r="A173" s="9" t="n"/>
      <c r="B173" s="9" t="n"/>
      <c r="C173" s="9" t="n"/>
      <c r="D173" s="33" t="n"/>
      <c r="E173" s="9" t="n"/>
      <c r="F173" s="9" t="n"/>
      <c r="G173" s="9" t="n"/>
      <c r="H173" s="9" t="n"/>
      <c r="I173" s="34" t="n"/>
      <c r="J173" s="35" t="n"/>
      <c r="K173" s="33" t="n"/>
      <c r="L173" s="33">
        <f>IF(AND(ISNUMBER(K173),ISNUMBER(J173)),K173*J173,"")</f>
        <v/>
      </c>
      <c r="M173" s="9" t="n"/>
      <c r="N173" s="9" t="n"/>
    </row>
    <row r="174">
      <c r="A174" s="11" t="n"/>
      <c r="B174" s="11" t="n"/>
      <c r="C174" s="11" t="n"/>
      <c r="D174" s="36" t="n"/>
      <c r="E174" s="11" t="n"/>
      <c r="F174" s="11" t="n"/>
      <c r="G174" s="11" t="n"/>
      <c r="H174" s="11" t="n"/>
      <c r="I174" s="37" t="n"/>
      <c r="J174" s="38" t="n"/>
      <c r="K174" s="36" t="n"/>
      <c r="L174" s="36">
        <f>IF(AND(ISNUMBER(K174),ISNUMBER(J174)),K174*J174,"")</f>
        <v/>
      </c>
      <c r="M174" s="11" t="n"/>
      <c r="N174" s="11" t="n"/>
    </row>
    <row r="175">
      <c r="A175" s="9" t="n"/>
      <c r="B175" s="9" t="n"/>
      <c r="C175" s="9" t="n"/>
      <c r="D175" s="33" t="n"/>
      <c r="E175" s="9" t="n"/>
      <c r="F175" s="9" t="n"/>
      <c r="G175" s="9" t="n"/>
      <c r="H175" s="9" t="n"/>
      <c r="I175" s="34" t="n"/>
      <c r="J175" s="35" t="n"/>
      <c r="K175" s="33" t="n"/>
      <c r="L175" s="33">
        <f>IF(AND(ISNUMBER(K175),ISNUMBER(J175)),K175*J175,"")</f>
        <v/>
      </c>
      <c r="M175" s="9" t="n"/>
      <c r="N175" s="9" t="n"/>
    </row>
    <row r="176">
      <c r="A176" s="11" t="n"/>
      <c r="B176" s="11" t="n"/>
      <c r="C176" s="11" t="n"/>
      <c r="D176" s="36" t="n"/>
      <c r="E176" s="11" t="n"/>
      <c r="F176" s="11" t="n"/>
      <c r="G176" s="11" t="n"/>
      <c r="H176" s="11" t="n"/>
      <c r="I176" s="37" t="n"/>
      <c r="J176" s="38" t="n"/>
      <c r="K176" s="36" t="n"/>
      <c r="L176" s="36">
        <f>IF(AND(ISNUMBER(K176),ISNUMBER(J176)),K176*J176,"")</f>
        <v/>
      </c>
      <c r="M176" s="11" t="n"/>
      <c r="N176" s="11" t="n"/>
    </row>
    <row r="177">
      <c r="A177" s="9" t="n"/>
      <c r="B177" s="9" t="n"/>
      <c r="C177" s="9" t="n"/>
      <c r="D177" s="33" t="n"/>
      <c r="E177" s="9" t="n"/>
      <c r="F177" s="9" t="n"/>
      <c r="G177" s="9" t="n"/>
      <c r="H177" s="9" t="n"/>
      <c r="I177" s="34" t="n"/>
      <c r="J177" s="35" t="n"/>
      <c r="K177" s="33" t="n"/>
      <c r="L177" s="33">
        <f>IF(AND(ISNUMBER(K177),ISNUMBER(J177)),K177*J177,"")</f>
        <v/>
      </c>
      <c r="M177" s="9" t="n"/>
      <c r="N177" s="9" t="n"/>
    </row>
    <row r="178">
      <c r="A178" s="11" t="n"/>
      <c r="B178" s="11" t="n"/>
      <c r="C178" s="11" t="n"/>
      <c r="D178" s="36" t="n"/>
      <c r="E178" s="11" t="n"/>
      <c r="F178" s="11" t="n"/>
      <c r="G178" s="11" t="n"/>
      <c r="H178" s="11" t="n"/>
      <c r="I178" s="37" t="n"/>
      <c r="J178" s="38" t="n"/>
      <c r="K178" s="36" t="n"/>
      <c r="L178" s="36">
        <f>IF(AND(ISNUMBER(K178),ISNUMBER(J178)),K178*J178,"")</f>
        <v/>
      </c>
      <c r="M178" s="11" t="n"/>
      <c r="N178" s="11" t="n"/>
    </row>
    <row r="179">
      <c r="A179" s="9" t="n"/>
      <c r="B179" s="9" t="n"/>
      <c r="C179" s="9" t="n"/>
      <c r="D179" s="33" t="n"/>
      <c r="E179" s="9" t="n"/>
      <c r="F179" s="9" t="n"/>
      <c r="G179" s="9" t="n"/>
      <c r="H179" s="9" t="n"/>
      <c r="I179" s="34" t="n"/>
      <c r="J179" s="35" t="n"/>
      <c r="K179" s="33" t="n"/>
      <c r="L179" s="33">
        <f>IF(AND(ISNUMBER(K179),ISNUMBER(J179)),K179*J179,"")</f>
        <v/>
      </c>
      <c r="M179" s="9" t="n"/>
      <c r="N179" s="9" t="n"/>
    </row>
    <row r="180">
      <c r="A180" s="11" t="n"/>
      <c r="B180" s="11" t="n"/>
      <c r="C180" s="11" t="n"/>
      <c r="D180" s="36" t="n"/>
      <c r="E180" s="11" t="n"/>
      <c r="F180" s="11" t="n"/>
      <c r="G180" s="11" t="n"/>
      <c r="H180" s="11" t="n"/>
      <c r="I180" s="37" t="n"/>
      <c r="J180" s="38" t="n"/>
      <c r="K180" s="36" t="n"/>
      <c r="L180" s="36">
        <f>IF(AND(ISNUMBER(K180),ISNUMBER(J180)),K180*J180,"")</f>
        <v/>
      </c>
      <c r="M180" s="11" t="n"/>
      <c r="N180" s="11" t="n"/>
    </row>
    <row r="181">
      <c r="A181" s="9" t="n"/>
      <c r="B181" s="9" t="n"/>
      <c r="C181" s="9" t="n"/>
      <c r="D181" s="33" t="n"/>
      <c r="E181" s="9" t="n"/>
      <c r="F181" s="9" t="n"/>
      <c r="G181" s="9" t="n"/>
      <c r="H181" s="9" t="n"/>
      <c r="I181" s="34" t="n"/>
      <c r="J181" s="35" t="n"/>
      <c r="K181" s="33" t="n"/>
      <c r="L181" s="33">
        <f>IF(AND(ISNUMBER(K181),ISNUMBER(J181)),K181*J181,"")</f>
        <v/>
      </c>
      <c r="M181" s="9" t="n"/>
      <c r="N181" s="9" t="n"/>
    </row>
    <row r="182">
      <c r="A182" s="11" t="n"/>
      <c r="B182" s="11" t="n"/>
      <c r="C182" s="11" t="n"/>
      <c r="D182" s="36" t="n"/>
      <c r="E182" s="11" t="n"/>
      <c r="F182" s="11" t="n"/>
      <c r="G182" s="11" t="n"/>
      <c r="H182" s="11" t="n"/>
      <c r="I182" s="37" t="n"/>
      <c r="J182" s="38" t="n"/>
      <c r="K182" s="36" t="n"/>
      <c r="L182" s="36">
        <f>IF(AND(ISNUMBER(K182),ISNUMBER(J182)),K182*J182,"")</f>
        <v/>
      </c>
      <c r="M182" s="11" t="n"/>
      <c r="N182" s="11" t="n"/>
    </row>
    <row r="183">
      <c r="A183" s="9" t="n"/>
      <c r="B183" s="9" t="n"/>
      <c r="C183" s="9" t="n"/>
      <c r="D183" s="33" t="n"/>
      <c r="E183" s="9" t="n"/>
      <c r="F183" s="9" t="n"/>
      <c r="G183" s="9" t="n"/>
      <c r="H183" s="9" t="n"/>
      <c r="I183" s="34" t="n"/>
      <c r="J183" s="35" t="n"/>
      <c r="K183" s="33" t="n"/>
      <c r="L183" s="33">
        <f>IF(AND(ISNUMBER(K183),ISNUMBER(J183)),K183*J183,"")</f>
        <v/>
      </c>
      <c r="M183" s="9" t="n"/>
      <c r="N183" s="9" t="n"/>
    </row>
    <row r="184">
      <c r="A184" s="11" t="n"/>
      <c r="B184" s="11" t="n"/>
      <c r="C184" s="11" t="n"/>
      <c r="D184" s="36" t="n"/>
      <c r="E184" s="11" t="n"/>
      <c r="F184" s="11" t="n"/>
      <c r="G184" s="11" t="n"/>
      <c r="H184" s="11" t="n"/>
      <c r="I184" s="37" t="n"/>
      <c r="J184" s="38" t="n"/>
      <c r="K184" s="36" t="n"/>
      <c r="L184" s="36">
        <f>IF(AND(ISNUMBER(K184),ISNUMBER(J184)),K184*J184,"")</f>
        <v/>
      </c>
      <c r="M184" s="11" t="n"/>
      <c r="N184" s="11" t="n"/>
    </row>
    <row r="185">
      <c r="A185" s="9" t="n"/>
      <c r="B185" s="9" t="n"/>
      <c r="C185" s="9" t="n"/>
      <c r="D185" s="33" t="n"/>
      <c r="E185" s="9" t="n"/>
      <c r="F185" s="9" t="n"/>
      <c r="G185" s="9" t="n"/>
      <c r="H185" s="9" t="n"/>
      <c r="I185" s="34" t="n"/>
      <c r="J185" s="35" t="n"/>
      <c r="K185" s="33" t="n"/>
      <c r="L185" s="33">
        <f>IF(AND(ISNUMBER(K185),ISNUMBER(J185)),K185*J185,"")</f>
        <v/>
      </c>
      <c r="M185" s="9" t="n"/>
      <c r="N185" s="9" t="n"/>
    </row>
    <row r="186">
      <c r="A186" s="11" t="n"/>
      <c r="B186" s="11" t="n"/>
      <c r="C186" s="11" t="n"/>
      <c r="D186" s="36" t="n"/>
      <c r="E186" s="11" t="n"/>
      <c r="F186" s="11" t="n"/>
      <c r="G186" s="11" t="n"/>
      <c r="H186" s="11" t="n"/>
      <c r="I186" s="37" t="n"/>
      <c r="J186" s="38" t="n"/>
      <c r="K186" s="36" t="n"/>
      <c r="L186" s="36">
        <f>IF(AND(ISNUMBER(K186),ISNUMBER(J186)),K186*J186,"")</f>
        <v/>
      </c>
      <c r="M186" s="11" t="n"/>
      <c r="N186" s="11" t="n"/>
    </row>
    <row r="187">
      <c r="A187" s="9" t="n"/>
      <c r="B187" s="9" t="n"/>
      <c r="C187" s="9" t="n"/>
      <c r="D187" s="33" t="n"/>
      <c r="E187" s="9" t="n"/>
      <c r="F187" s="9" t="n"/>
      <c r="G187" s="9" t="n"/>
      <c r="H187" s="9" t="n"/>
      <c r="I187" s="34" t="n"/>
      <c r="J187" s="35" t="n"/>
      <c r="K187" s="33" t="n"/>
      <c r="L187" s="33">
        <f>IF(AND(ISNUMBER(K187),ISNUMBER(J187)),K187*J187,"")</f>
        <v/>
      </c>
      <c r="M187" s="9" t="n"/>
      <c r="N187" s="9" t="n"/>
    </row>
    <row r="188">
      <c r="A188" s="11" t="n"/>
      <c r="B188" s="11" t="n"/>
      <c r="C188" s="11" t="n"/>
      <c r="D188" s="36" t="n"/>
      <c r="E188" s="11" t="n"/>
      <c r="F188" s="11" t="n"/>
      <c r="G188" s="11" t="n"/>
      <c r="H188" s="11" t="n"/>
      <c r="I188" s="37" t="n"/>
      <c r="J188" s="38" t="n"/>
      <c r="K188" s="36" t="n"/>
      <c r="L188" s="36">
        <f>IF(AND(ISNUMBER(K188),ISNUMBER(J188)),K188*J188,"")</f>
        <v/>
      </c>
      <c r="M188" s="11" t="n"/>
      <c r="N188" s="11" t="n"/>
    </row>
    <row r="189">
      <c r="A189" s="9" t="n"/>
      <c r="B189" s="9" t="n"/>
      <c r="C189" s="9" t="n"/>
      <c r="D189" s="33" t="n"/>
      <c r="E189" s="9" t="n"/>
      <c r="F189" s="9" t="n"/>
      <c r="G189" s="9" t="n"/>
      <c r="H189" s="9" t="n"/>
      <c r="I189" s="34" t="n"/>
      <c r="J189" s="35" t="n"/>
      <c r="K189" s="33" t="n"/>
      <c r="L189" s="33">
        <f>IF(AND(ISNUMBER(K189),ISNUMBER(J189)),K189*J189,"")</f>
        <v/>
      </c>
      <c r="M189" s="9" t="n"/>
      <c r="N189" s="9" t="n"/>
    </row>
    <row r="190">
      <c r="A190" s="11" t="n"/>
      <c r="B190" s="11" t="n"/>
      <c r="C190" s="11" t="n"/>
      <c r="D190" s="36" t="n"/>
      <c r="E190" s="11" t="n"/>
      <c r="F190" s="11" t="n"/>
      <c r="G190" s="11" t="n"/>
      <c r="H190" s="11" t="n"/>
      <c r="I190" s="37" t="n"/>
      <c r="J190" s="38" t="n"/>
      <c r="K190" s="36" t="n"/>
      <c r="L190" s="36">
        <f>IF(AND(ISNUMBER(K190),ISNUMBER(J190)),K190*J190,"")</f>
        <v/>
      </c>
      <c r="M190" s="11" t="n"/>
      <c r="N190" s="11" t="n"/>
    </row>
    <row r="191">
      <c r="A191" s="9" t="n"/>
      <c r="B191" s="9" t="n"/>
      <c r="C191" s="9" t="n"/>
      <c r="D191" s="33" t="n"/>
      <c r="E191" s="9" t="n"/>
      <c r="F191" s="9" t="n"/>
      <c r="G191" s="9" t="n"/>
      <c r="H191" s="9" t="n"/>
      <c r="I191" s="34" t="n"/>
      <c r="J191" s="35" t="n"/>
      <c r="K191" s="33" t="n"/>
      <c r="L191" s="33">
        <f>IF(AND(ISNUMBER(K191),ISNUMBER(J191)),K191*J191,"")</f>
        <v/>
      </c>
      <c r="M191" s="9" t="n"/>
      <c r="N191" s="9" t="n"/>
    </row>
    <row r="192">
      <c r="A192" s="11" t="n"/>
      <c r="B192" s="11" t="n"/>
      <c r="C192" s="11" t="n"/>
      <c r="D192" s="36" t="n"/>
      <c r="E192" s="11" t="n"/>
      <c r="F192" s="11" t="n"/>
      <c r="G192" s="11" t="n"/>
      <c r="H192" s="11" t="n"/>
      <c r="I192" s="37" t="n"/>
      <c r="J192" s="38" t="n"/>
      <c r="K192" s="36" t="n"/>
      <c r="L192" s="36">
        <f>IF(AND(ISNUMBER(K192),ISNUMBER(J192)),K192*J192,"")</f>
        <v/>
      </c>
      <c r="M192" s="11" t="n"/>
      <c r="N192" s="11" t="n"/>
    </row>
    <row r="193">
      <c r="A193" s="9" t="n"/>
      <c r="B193" s="9" t="n"/>
      <c r="C193" s="9" t="n"/>
      <c r="D193" s="33" t="n"/>
      <c r="E193" s="9" t="n"/>
      <c r="F193" s="9" t="n"/>
      <c r="G193" s="9" t="n"/>
      <c r="H193" s="9" t="n"/>
      <c r="I193" s="34" t="n"/>
      <c r="J193" s="35" t="n"/>
      <c r="K193" s="33" t="n"/>
      <c r="L193" s="33">
        <f>IF(AND(ISNUMBER(K193),ISNUMBER(J193)),K193*J193,"")</f>
        <v/>
      </c>
      <c r="M193" s="9" t="n"/>
      <c r="N193" s="9" t="n"/>
    </row>
    <row r="194">
      <c r="A194" s="11" t="n"/>
      <c r="B194" s="11" t="n"/>
      <c r="C194" s="11" t="n"/>
      <c r="D194" s="36" t="n"/>
      <c r="E194" s="11" t="n"/>
      <c r="F194" s="11" t="n"/>
      <c r="G194" s="11" t="n"/>
      <c r="H194" s="11" t="n"/>
      <c r="I194" s="37" t="n"/>
      <c r="J194" s="38" t="n"/>
      <c r="K194" s="36" t="n"/>
      <c r="L194" s="36">
        <f>IF(AND(ISNUMBER(K194),ISNUMBER(J194)),K194*J194,"")</f>
        <v/>
      </c>
      <c r="M194" s="11" t="n"/>
      <c r="N194" s="11" t="n"/>
    </row>
    <row r="195">
      <c r="A195" s="9" t="n"/>
      <c r="B195" s="9" t="n"/>
      <c r="C195" s="9" t="n"/>
      <c r="D195" s="33" t="n"/>
      <c r="E195" s="9" t="n"/>
      <c r="F195" s="9" t="n"/>
      <c r="G195" s="9" t="n"/>
      <c r="H195" s="9" t="n"/>
      <c r="I195" s="34" t="n"/>
      <c r="J195" s="35" t="n"/>
      <c r="K195" s="33" t="n"/>
      <c r="L195" s="33">
        <f>IF(AND(ISNUMBER(K195),ISNUMBER(J195)),K195*J195,"")</f>
        <v/>
      </c>
      <c r="M195" s="9" t="n"/>
      <c r="N195" s="9" t="n"/>
    </row>
    <row r="196">
      <c r="A196" s="11" t="n"/>
      <c r="B196" s="11" t="n"/>
      <c r="C196" s="11" t="n"/>
      <c r="D196" s="36" t="n"/>
      <c r="E196" s="11" t="n"/>
      <c r="F196" s="11" t="n"/>
      <c r="G196" s="11" t="n"/>
      <c r="H196" s="11" t="n"/>
      <c r="I196" s="37" t="n"/>
      <c r="J196" s="38" t="n"/>
      <c r="K196" s="36" t="n"/>
      <c r="L196" s="36">
        <f>IF(AND(ISNUMBER(K196),ISNUMBER(J196)),K196*J196,"")</f>
        <v/>
      </c>
      <c r="M196" s="11" t="n"/>
      <c r="N196" s="11" t="n"/>
    </row>
    <row r="197">
      <c r="A197" s="9" t="n"/>
      <c r="B197" s="9" t="n"/>
      <c r="C197" s="9" t="n"/>
      <c r="D197" s="33" t="n"/>
      <c r="E197" s="9" t="n"/>
      <c r="F197" s="9" t="n"/>
      <c r="G197" s="9" t="n"/>
      <c r="H197" s="9" t="n"/>
      <c r="I197" s="34" t="n"/>
      <c r="J197" s="35" t="n"/>
      <c r="K197" s="33" t="n"/>
      <c r="L197" s="33">
        <f>IF(AND(ISNUMBER(K197),ISNUMBER(J197)),K197*J197,"")</f>
        <v/>
      </c>
      <c r="M197" s="9" t="n"/>
      <c r="N197" s="9" t="n"/>
    </row>
    <row r="198">
      <c r="A198" s="11" t="n"/>
      <c r="B198" s="11" t="n"/>
      <c r="C198" s="11" t="n"/>
      <c r="D198" s="36" t="n"/>
      <c r="E198" s="11" t="n"/>
      <c r="F198" s="11" t="n"/>
      <c r="G198" s="11" t="n"/>
      <c r="H198" s="11" t="n"/>
      <c r="I198" s="37" t="n"/>
      <c r="J198" s="38" t="n"/>
      <c r="K198" s="36" t="n"/>
      <c r="L198" s="36">
        <f>IF(AND(ISNUMBER(K198),ISNUMBER(J198)),K198*J198,"")</f>
        <v/>
      </c>
      <c r="M198" s="11" t="n"/>
      <c r="N198" s="11" t="n"/>
    </row>
    <row r="199">
      <c r="A199" s="9" t="n"/>
      <c r="B199" s="9" t="n"/>
      <c r="C199" s="9" t="n"/>
      <c r="D199" s="33" t="n"/>
      <c r="E199" s="9" t="n"/>
      <c r="F199" s="9" t="n"/>
      <c r="G199" s="9" t="n"/>
      <c r="H199" s="9" t="n"/>
      <c r="I199" s="34" t="n"/>
      <c r="J199" s="35" t="n"/>
      <c r="K199" s="33" t="n"/>
      <c r="L199" s="33">
        <f>IF(AND(ISNUMBER(K199),ISNUMBER(J199)),K199*J199,"")</f>
        <v/>
      </c>
      <c r="M199" s="9" t="n"/>
      <c r="N199" s="9" t="n"/>
    </row>
    <row r="200">
      <c r="A200" s="11" t="n"/>
      <c r="B200" s="11" t="n"/>
      <c r="C200" s="11" t="n"/>
      <c r="D200" s="36" t="n"/>
      <c r="E200" s="11" t="n"/>
      <c r="F200" s="11" t="n"/>
      <c r="G200" s="11" t="n"/>
      <c r="H200" s="11" t="n"/>
      <c r="I200" s="37" t="n"/>
      <c r="J200" s="38" t="n"/>
      <c r="K200" s="36" t="n"/>
      <c r="L200" s="36">
        <f>IF(AND(ISNUMBER(K200),ISNUMBER(J200)),K200*J200,"")</f>
        <v/>
      </c>
      <c r="M200" s="11" t="n"/>
      <c r="N200" s="11" t="n"/>
    </row>
    <row r="201">
      <c r="A201" s="9" t="n"/>
      <c r="B201" s="9" t="n"/>
      <c r="C201" s="9" t="n"/>
      <c r="D201" s="33" t="n"/>
      <c r="E201" s="9" t="n"/>
      <c r="F201" s="9" t="n"/>
      <c r="G201" s="9" t="n"/>
      <c r="H201" s="9" t="n"/>
      <c r="I201" s="34" t="n"/>
      <c r="J201" s="35" t="n"/>
      <c r="K201" s="33" t="n"/>
      <c r="L201" s="33">
        <f>IF(AND(ISNUMBER(K201),ISNUMBER(J201)),K201*J201,"")</f>
        <v/>
      </c>
      <c r="M201" s="9" t="n"/>
      <c r="N201" s="9" t="n"/>
    </row>
    <row r="202">
      <c r="A202" s="11" t="n"/>
      <c r="B202" s="11" t="n"/>
      <c r="C202" s="11" t="n"/>
      <c r="D202" s="36" t="n"/>
      <c r="E202" s="11" t="n"/>
      <c r="F202" s="11" t="n"/>
      <c r="G202" s="11" t="n"/>
      <c r="H202" s="11" t="n"/>
      <c r="I202" s="37" t="n"/>
      <c r="J202" s="38" t="n"/>
      <c r="K202" s="36" t="n"/>
      <c r="L202" s="36">
        <f>IF(AND(ISNUMBER(K202),ISNUMBER(J202)),K202*J202,"")</f>
        <v/>
      </c>
      <c r="M202" s="11" t="n"/>
      <c r="N202" s="11" t="n"/>
    </row>
    <row r="203">
      <c r="A203" s="9" t="n"/>
      <c r="B203" s="9" t="n"/>
      <c r="C203" s="9" t="n"/>
      <c r="D203" s="33" t="n"/>
      <c r="E203" s="9" t="n"/>
      <c r="F203" s="9" t="n"/>
      <c r="G203" s="9" t="n"/>
      <c r="H203" s="9" t="n"/>
      <c r="I203" s="34" t="n"/>
      <c r="J203" s="35" t="n"/>
      <c r="K203" s="33" t="n"/>
      <c r="L203" s="33">
        <f>IF(AND(ISNUMBER(K203),ISNUMBER(J203)),K203*J203,"")</f>
        <v/>
      </c>
      <c r="M203" s="9" t="n"/>
      <c r="N203" s="9" t="n"/>
    </row>
    <row r="204">
      <c r="A204" s="11" t="n"/>
      <c r="B204" s="11" t="n"/>
      <c r="C204" s="11" t="n"/>
      <c r="D204" s="36" t="n"/>
      <c r="E204" s="11" t="n"/>
      <c r="F204" s="11" t="n"/>
      <c r="G204" s="11" t="n"/>
      <c r="H204" s="11" t="n"/>
      <c r="I204" s="37" t="n"/>
      <c r="J204" s="38" t="n"/>
      <c r="K204" s="36" t="n"/>
      <c r="L204" s="36">
        <f>IF(AND(ISNUMBER(K204),ISNUMBER(J204)),K204*J204,"")</f>
        <v/>
      </c>
      <c r="M204" s="11" t="n"/>
      <c r="N204" s="11" t="n"/>
    </row>
  </sheetData>
  <mergeCells count="1">
    <mergeCell ref="A2:N2"/>
  </mergeCells>
  <dataValidations count="2">
    <dataValidation sqref="G5:G204" showDropDown="0" showInputMessage="0" showErrorMessage="0" allowBlank="1" type="list">
      <formula1>"lead,qualified,visit,negotiation,closure,lost"</formula1>
    </dataValidation>
    <dataValidation sqref="C5:C204" showDropDown="0" showInputMessage="0" showErrorMessage="0" allowBlank="1" type="list">
      <formula1>"referral,existing client,co-broking,developer channel,whatsapp brief,search content,corporate rental,portal listing"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1" customWidth="1" min="4" max="4"/>
    <col width="13" customWidth="1" min="5" max="5"/>
    <col width="13" customWidth="1" min="6" max="6"/>
    <col width="12" customWidth="1" min="7" max="7"/>
    <col width="9" customWidth="1" min="8" max="8"/>
    <col width="11" customWidth="1" min="9" max="9"/>
    <col width="11" customWidth="1" min="10" max="10"/>
    <col width="13" customWidth="1" min="11" max="11"/>
    <col width="11" customWidth="1" min="12" max="12"/>
    <col width="15" customWidth="1" min="13" max="13"/>
    <col width="9" customWidth="1" min="14" max="14"/>
    <col width="8" customWidth="1" min="15" max="15"/>
    <col width="13" customWidth="1" min="16" max="16"/>
    <col width="18" customWidth="1" min="17" max="17"/>
  </cols>
  <sheetData>
    <row r="1" ht="22" customHeight="1">
      <c r="A1" s="6" t="inlineStr">
        <is>
          <t>Deal underwriting</t>
        </is>
      </c>
    </row>
    <row r="2" ht="30" customHeight="1">
      <c r="A2" s="7" t="inlineStr">
        <is>
          <t>All-in cost, yield and EMI for a specific unit. Carpet area only. The all-in cost includes stamp duty, registration, TDS and brokerage — roughly 8% above the agreement value in Mumbai.</t>
        </is>
      </c>
    </row>
    <row r="4" ht="26" customHeight="1">
      <c r="A4" s="8" t="inlineStr">
        <is>
          <t>Client_ID</t>
        </is>
      </c>
      <c r="B4" s="8" t="inlineStr">
        <is>
          <t>Budget ₹</t>
        </is>
      </c>
      <c r="C4" s="8" t="inlineStr">
        <is>
          <t>Agreement value ₹</t>
        </is>
      </c>
      <c r="D4" s="8" t="inlineStr">
        <is>
          <t>Carpet sqft</t>
        </is>
      </c>
      <c r="E4" s="8" t="inlineStr">
        <is>
          <t>Monthly rent ₹</t>
        </is>
      </c>
      <c r="F4" s="8" t="inlineStr">
        <is>
          <t>Maintenance/mo ₹</t>
        </is>
      </c>
      <c r="G4" s="8" t="inlineStr">
        <is>
          <t>Prop tax/yr ₹</t>
        </is>
      </c>
      <c r="H4" s="8" t="inlineStr">
        <is>
          <t>Vacancy %</t>
        </is>
      </c>
      <c r="I4" s="8" t="inlineStr">
        <is>
          <t>Gross yield</t>
        </is>
      </c>
      <c r="J4" s="8" t="inlineStr">
        <is>
          <t>Net yield</t>
        </is>
      </c>
      <c r="K4" s="8" t="inlineStr">
        <is>
          <t>All-in cost ₹</t>
        </is>
      </c>
      <c r="L4" s="8" t="inlineStr">
        <is>
          <t>Price/rent yrs</t>
        </is>
      </c>
      <c r="M4" s="8" t="inlineStr">
        <is>
          <t>Down payment %</t>
        </is>
      </c>
      <c r="N4" s="8" t="inlineStr">
        <is>
          <t>Interest %</t>
        </is>
      </c>
      <c r="O4" s="8" t="inlineStr">
        <is>
          <t>Years</t>
        </is>
      </c>
      <c r="P4" s="8" t="inlineStr">
        <is>
          <t>EMI ₹</t>
        </is>
      </c>
      <c r="Q4" s="8" t="inlineStr">
        <is>
          <t>Decision</t>
        </is>
      </c>
    </row>
    <row r="5">
      <c r="A5" s="9" t="inlineStr">
        <is>
          <t>C-0001</t>
        </is>
      </c>
      <c r="B5" s="33" t="n">
        <v>30000000</v>
      </c>
      <c r="C5" s="33" t="n">
        <v>25000000</v>
      </c>
      <c r="D5" s="9" t="n">
        <v>650</v>
      </c>
      <c r="E5" s="33" t="n">
        <v>75000</v>
      </c>
      <c r="F5" s="33" t="n">
        <v>12000</v>
      </c>
      <c r="G5" s="33" t="n">
        <v>30000</v>
      </c>
      <c r="H5" s="35" t="n">
        <v>0.05</v>
      </c>
      <c r="I5" s="39">
        <f>IF(C5&gt;0,E5*12/C5,"")</f>
        <v/>
      </c>
      <c r="J5" s="39">
        <f>IF(C5&gt;0,(E5*12*(1-H5)-F5*12-G5)/C5,"")</f>
        <v/>
      </c>
      <c r="K5" s="33">
        <f>IF(C5&gt;0,C5*1.07+MIN(C5*0.01,30000),"")</f>
        <v/>
      </c>
      <c r="L5" s="40">
        <f>IF(E5&gt;0,C5/(E5*12),"")</f>
        <v/>
      </c>
      <c r="M5" s="35" t="n">
        <v>0.25</v>
      </c>
      <c r="N5" s="39" t="n">
        <v>0.08500000000000001</v>
      </c>
      <c r="O5" s="9" t="n">
        <v>20</v>
      </c>
      <c r="P5" s="33">
        <f>IF(AND(C5&gt;0,N5&gt;0),PMT(N5/12,O5*12,-C5*(1-M5)),"")</f>
        <v/>
      </c>
      <c r="Q5" s="9" t="inlineStr">
        <is>
          <t>Review / shortlist</t>
        </is>
      </c>
    </row>
    <row r="6">
      <c r="A6" s="11" t="n"/>
      <c r="B6" s="36" t="n"/>
      <c r="C6" s="36" t="n"/>
      <c r="D6" s="11" t="n"/>
      <c r="E6" s="36" t="n"/>
      <c r="F6" s="36" t="n"/>
      <c r="G6" s="36" t="n"/>
      <c r="H6" s="38" t="n"/>
      <c r="I6" s="41">
        <f>IF(C6&gt;0,E6*12/C6,"")</f>
        <v/>
      </c>
      <c r="J6" s="41">
        <f>IF(C6&gt;0,(E6*12*(1-H6)-F6*12-G6)/C6,"")</f>
        <v/>
      </c>
      <c r="K6" s="36">
        <f>IF(C6&gt;0,C6*1.07+MIN(C6*0.01,30000),"")</f>
        <v/>
      </c>
      <c r="L6" s="42">
        <f>IF(E6&gt;0,C6/(E6*12),"")</f>
        <v/>
      </c>
      <c r="M6" s="38" t="n"/>
      <c r="N6" s="41" t="n"/>
      <c r="O6" s="11" t="n"/>
      <c r="P6" s="36">
        <f>IF(AND(C6&gt;0,N6&gt;0),PMT(N6/12,O6*12,-C6*(1-M6)),"")</f>
        <v/>
      </c>
      <c r="Q6" s="11" t="n"/>
    </row>
    <row r="7">
      <c r="A7" s="9" t="n"/>
      <c r="B7" s="33" t="n"/>
      <c r="C7" s="33" t="n"/>
      <c r="D7" s="9" t="n"/>
      <c r="E7" s="33" t="n"/>
      <c r="F7" s="33" t="n"/>
      <c r="G7" s="33" t="n"/>
      <c r="H7" s="35" t="n"/>
      <c r="I7" s="39">
        <f>IF(C7&gt;0,E7*12/C7,"")</f>
        <v/>
      </c>
      <c r="J7" s="39">
        <f>IF(C7&gt;0,(E7*12*(1-H7)-F7*12-G7)/C7,"")</f>
        <v/>
      </c>
      <c r="K7" s="33">
        <f>IF(C7&gt;0,C7*1.07+MIN(C7*0.01,30000),"")</f>
        <v/>
      </c>
      <c r="L7" s="40">
        <f>IF(E7&gt;0,C7/(E7*12),"")</f>
        <v/>
      </c>
      <c r="M7" s="35" t="n"/>
      <c r="N7" s="39" t="n"/>
      <c r="O7" s="9" t="n"/>
      <c r="P7" s="33">
        <f>IF(AND(C7&gt;0,N7&gt;0),PMT(N7/12,O7*12,-C7*(1-M7)),"")</f>
        <v/>
      </c>
      <c r="Q7" s="9" t="n"/>
    </row>
    <row r="8">
      <c r="A8" s="11" t="n"/>
      <c r="B8" s="36" t="n"/>
      <c r="C8" s="36" t="n"/>
      <c r="D8" s="11" t="n"/>
      <c r="E8" s="36" t="n"/>
      <c r="F8" s="36" t="n"/>
      <c r="G8" s="36" t="n"/>
      <c r="H8" s="38" t="n"/>
      <c r="I8" s="41">
        <f>IF(C8&gt;0,E8*12/C8,"")</f>
        <v/>
      </c>
      <c r="J8" s="41">
        <f>IF(C8&gt;0,(E8*12*(1-H8)-F8*12-G8)/C8,"")</f>
        <v/>
      </c>
      <c r="K8" s="36">
        <f>IF(C8&gt;0,C8*1.07+MIN(C8*0.01,30000),"")</f>
        <v/>
      </c>
      <c r="L8" s="42">
        <f>IF(E8&gt;0,C8/(E8*12),"")</f>
        <v/>
      </c>
      <c r="M8" s="38" t="n"/>
      <c r="N8" s="41" t="n"/>
      <c r="O8" s="11" t="n"/>
      <c r="P8" s="36">
        <f>IF(AND(C8&gt;0,N8&gt;0),PMT(N8/12,O8*12,-C8*(1-M8)),"")</f>
        <v/>
      </c>
      <c r="Q8" s="11" t="n"/>
    </row>
    <row r="9">
      <c r="A9" s="9" t="n"/>
      <c r="B9" s="33" t="n"/>
      <c r="C9" s="33" t="n"/>
      <c r="D9" s="9" t="n"/>
      <c r="E9" s="33" t="n"/>
      <c r="F9" s="33" t="n"/>
      <c r="G9" s="33" t="n"/>
      <c r="H9" s="35" t="n"/>
      <c r="I9" s="39">
        <f>IF(C9&gt;0,E9*12/C9,"")</f>
        <v/>
      </c>
      <c r="J9" s="39">
        <f>IF(C9&gt;0,(E9*12*(1-H9)-F9*12-G9)/C9,"")</f>
        <v/>
      </c>
      <c r="K9" s="33">
        <f>IF(C9&gt;0,C9*1.07+MIN(C9*0.01,30000),"")</f>
        <v/>
      </c>
      <c r="L9" s="40">
        <f>IF(E9&gt;0,C9/(E9*12),"")</f>
        <v/>
      </c>
      <c r="M9" s="35" t="n"/>
      <c r="N9" s="39" t="n"/>
      <c r="O9" s="9" t="n"/>
      <c r="P9" s="33">
        <f>IF(AND(C9&gt;0,N9&gt;0),PMT(N9/12,O9*12,-C9*(1-M9)),"")</f>
        <v/>
      </c>
      <c r="Q9" s="9" t="n"/>
    </row>
    <row r="10">
      <c r="A10" s="11" t="n"/>
      <c r="B10" s="36" t="n"/>
      <c r="C10" s="36" t="n"/>
      <c r="D10" s="11" t="n"/>
      <c r="E10" s="36" t="n"/>
      <c r="F10" s="36" t="n"/>
      <c r="G10" s="36" t="n"/>
      <c r="H10" s="38" t="n"/>
      <c r="I10" s="41">
        <f>IF(C10&gt;0,E10*12/C10,"")</f>
        <v/>
      </c>
      <c r="J10" s="41">
        <f>IF(C10&gt;0,(E10*12*(1-H10)-F10*12-G10)/C10,"")</f>
        <v/>
      </c>
      <c r="K10" s="36">
        <f>IF(C10&gt;0,C10*1.07+MIN(C10*0.01,30000),"")</f>
        <v/>
      </c>
      <c r="L10" s="42">
        <f>IF(E10&gt;0,C10/(E10*12),"")</f>
        <v/>
      </c>
      <c r="M10" s="38" t="n"/>
      <c r="N10" s="41" t="n"/>
      <c r="O10" s="11" t="n"/>
      <c r="P10" s="36">
        <f>IF(AND(C10&gt;0,N10&gt;0),PMT(N10/12,O10*12,-C10*(1-M10)),"")</f>
        <v/>
      </c>
      <c r="Q10" s="11" t="n"/>
    </row>
    <row r="11">
      <c r="A11" s="9" t="n"/>
      <c r="B11" s="33" t="n"/>
      <c r="C11" s="33" t="n"/>
      <c r="D11" s="9" t="n"/>
      <c r="E11" s="33" t="n"/>
      <c r="F11" s="33" t="n"/>
      <c r="G11" s="33" t="n"/>
      <c r="H11" s="35" t="n"/>
      <c r="I11" s="39">
        <f>IF(C11&gt;0,E11*12/C11,"")</f>
        <v/>
      </c>
      <c r="J11" s="39">
        <f>IF(C11&gt;0,(E11*12*(1-H11)-F11*12-G11)/C11,"")</f>
        <v/>
      </c>
      <c r="K11" s="33">
        <f>IF(C11&gt;0,C11*1.07+MIN(C11*0.01,30000),"")</f>
        <v/>
      </c>
      <c r="L11" s="40">
        <f>IF(E11&gt;0,C11/(E11*12),"")</f>
        <v/>
      </c>
      <c r="M11" s="35" t="n"/>
      <c r="N11" s="39" t="n"/>
      <c r="O11" s="9" t="n"/>
      <c r="P11" s="33">
        <f>IF(AND(C11&gt;0,N11&gt;0),PMT(N11/12,O11*12,-C11*(1-M11)),"")</f>
        <v/>
      </c>
      <c r="Q11" s="9" t="n"/>
    </row>
    <row r="12">
      <c r="A12" s="11" t="n"/>
      <c r="B12" s="36" t="n"/>
      <c r="C12" s="36" t="n"/>
      <c r="D12" s="11" t="n"/>
      <c r="E12" s="36" t="n"/>
      <c r="F12" s="36" t="n"/>
      <c r="G12" s="36" t="n"/>
      <c r="H12" s="38" t="n"/>
      <c r="I12" s="41">
        <f>IF(C12&gt;0,E12*12/C12,"")</f>
        <v/>
      </c>
      <c r="J12" s="41">
        <f>IF(C12&gt;0,(E12*12*(1-H12)-F12*12-G12)/C12,"")</f>
        <v/>
      </c>
      <c r="K12" s="36">
        <f>IF(C12&gt;0,C12*1.07+MIN(C12*0.01,30000),"")</f>
        <v/>
      </c>
      <c r="L12" s="42">
        <f>IF(E12&gt;0,C12/(E12*12),"")</f>
        <v/>
      </c>
      <c r="M12" s="38" t="n"/>
      <c r="N12" s="41" t="n"/>
      <c r="O12" s="11" t="n"/>
      <c r="P12" s="36">
        <f>IF(AND(C12&gt;0,N12&gt;0),PMT(N12/12,O12*12,-C12*(1-M12)),"")</f>
        <v/>
      </c>
      <c r="Q12" s="11" t="n"/>
    </row>
    <row r="13">
      <c r="A13" s="9" t="n"/>
      <c r="B13" s="33" t="n"/>
      <c r="C13" s="33" t="n"/>
      <c r="D13" s="9" t="n"/>
      <c r="E13" s="33" t="n"/>
      <c r="F13" s="33" t="n"/>
      <c r="G13" s="33" t="n"/>
      <c r="H13" s="35" t="n"/>
      <c r="I13" s="39">
        <f>IF(C13&gt;0,E13*12/C13,"")</f>
        <v/>
      </c>
      <c r="J13" s="39">
        <f>IF(C13&gt;0,(E13*12*(1-H13)-F13*12-G13)/C13,"")</f>
        <v/>
      </c>
      <c r="K13" s="33">
        <f>IF(C13&gt;0,C13*1.07+MIN(C13*0.01,30000),"")</f>
        <v/>
      </c>
      <c r="L13" s="40">
        <f>IF(E13&gt;0,C13/(E13*12),"")</f>
        <v/>
      </c>
      <c r="M13" s="35" t="n"/>
      <c r="N13" s="39" t="n"/>
      <c r="O13" s="9" t="n"/>
      <c r="P13" s="33">
        <f>IF(AND(C13&gt;0,N13&gt;0),PMT(N13/12,O13*12,-C13*(1-M13)),"")</f>
        <v/>
      </c>
      <c r="Q13" s="9" t="n"/>
    </row>
    <row r="14">
      <c r="A14" s="11" t="n"/>
      <c r="B14" s="36" t="n"/>
      <c r="C14" s="36" t="n"/>
      <c r="D14" s="11" t="n"/>
      <c r="E14" s="36" t="n"/>
      <c r="F14" s="36" t="n"/>
      <c r="G14" s="36" t="n"/>
      <c r="H14" s="38" t="n"/>
      <c r="I14" s="41">
        <f>IF(C14&gt;0,E14*12/C14,"")</f>
        <v/>
      </c>
      <c r="J14" s="41">
        <f>IF(C14&gt;0,(E14*12*(1-H14)-F14*12-G14)/C14,"")</f>
        <v/>
      </c>
      <c r="K14" s="36">
        <f>IF(C14&gt;0,C14*1.07+MIN(C14*0.01,30000),"")</f>
        <v/>
      </c>
      <c r="L14" s="42">
        <f>IF(E14&gt;0,C14/(E14*12),"")</f>
        <v/>
      </c>
      <c r="M14" s="38" t="n"/>
      <c r="N14" s="41" t="n"/>
      <c r="O14" s="11" t="n"/>
      <c r="P14" s="36">
        <f>IF(AND(C14&gt;0,N14&gt;0),PMT(N14/12,O14*12,-C14*(1-M14)),"")</f>
        <v/>
      </c>
      <c r="Q14" s="11" t="n"/>
    </row>
    <row r="15">
      <c r="A15" s="9" t="n"/>
      <c r="B15" s="33" t="n"/>
      <c r="C15" s="33" t="n"/>
      <c r="D15" s="9" t="n"/>
      <c r="E15" s="33" t="n"/>
      <c r="F15" s="33" t="n"/>
      <c r="G15" s="33" t="n"/>
      <c r="H15" s="35" t="n"/>
      <c r="I15" s="39">
        <f>IF(C15&gt;0,E15*12/C15,"")</f>
        <v/>
      </c>
      <c r="J15" s="39">
        <f>IF(C15&gt;0,(E15*12*(1-H15)-F15*12-G15)/C15,"")</f>
        <v/>
      </c>
      <c r="K15" s="33">
        <f>IF(C15&gt;0,C15*1.07+MIN(C15*0.01,30000),"")</f>
        <v/>
      </c>
      <c r="L15" s="40">
        <f>IF(E15&gt;0,C15/(E15*12),"")</f>
        <v/>
      </c>
      <c r="M15" s="35" t="n"/>
      <c r="N15" s="39" t="n"/>
      <c r="O15" s="9" t="n"/>
      <c r="P15" s="33">
        <f>IF(AND(C15&gt;0,N15&gt;0),PMT(N15/12,O15*12,-C15*(1-M15)),"")</f>
        <v/>
      </c>
      <c r="Q15" s="9" t="n"/>
    </row>
    <row r="16">
      <c r="A16" s="11" t="n"/>
      <c r="B16" s="36" t="n"/>
      <c r="C16" s="36" t="n"/>
      <c r="D16" s="11" t="n"/>
      <c r="E16" s="36" t="n"/>
      <c r="F16" s="36" t="n"/>
      <c r="G16" s="36" t="n"/>
      <c r="H16" s="38" t="n"/>
      <c r="I16" s="41">
        <f>IF(C16&gt;0,E16*12/C16,"")</f>
        <v/>
      </c>
      <c r="J16" s="41">
        <f>IF(C16&gt;0,(E16*12*(1-H16)-F16*12-G16)/C16,"")</f>
        <v/>
      </c>
      <c r="K16" s="36">
        <f>IF(C16&gt;0,C16*1.07+MIN(C16*0.01,30000),"")</f>
        <v/>
      </c>
      <c r="L16" s="42">
        <f>IF(E16&gt;0,C16/(E16*12),"")</f>
        <v/>
      </c>
      <c r="M16" s="38" t="n"/>
      <c r="N16" s="41" t="n"/>
      <c r="O16" s="11" t="n"/>
      <c r="P16" s="36">
        <f>IF(AND(C16&gt;0,N16&gt;0),PMT(N16/12,O16*12,-C16*(1-M16)),"")</f>
        <v/>
      </c>
      <c r="Q16" s="11" t="n"/>
    </row>
    <row r="17">
      <c r="A17" s="9" t="n"/>
      <c r="B17" s="33" t="n"/>
      <c r="C17" s="33" t="n"/>
      <c r="D17" s="9" t="n"/>
      <c r="E17" s="33" t="n"/>
      <c r="F17" s="33" t="n"/>
      <c r="G17" s="33" t="n"/>
      <c r="H17" s="35" t="n"/>
      <c r="I17" s="39">
        <f>IF(C17&gt;0,E17*12/C17,"")</f>
        <v/>
      </c>
      <c r="J17" s="39">
        <f>IF(C17&gt;0,(E17*12*(1-H17)-F17*12-G17)/C17,"")</f>
        <v/>
      </c>
      <c r="K17" s="33">
        <f>IF(C17&gt;0,C17*1.07+MIN(C17*0.01,30000),"")</f>
        <v/>
      </c>
      <c r="L17" s="40">
        <f>IF(E17&gt;0,C17/(E17*12),"")</f>
        <v/>
      </c>
      <c r="M17" s="35" t="n"/>
      <c r="N17" s="39" t="n"/>
      <c r="O17" s="9" t="n"/>
      <c r="P17" s="33">
        <f>IF(AND(C17&gt;0,N17&gt;0),PMT(N17/12,O17*12,-C17*(1-M17)),"")</f>
        <v/>
      </c>
      <c r="Q17" s="9" t="n"/>
    </row>
    <row r="18">
      <c r="A18" s="11" t="n"/>
      <c r="B18" s="36" t="n"/>
      <c r="C18" s="36" t="n"/>
      <c r="D18" s="11" t="n"/>
      <c r="E18" s="36" t="n"/>
      <c r="F18" s="36" t="n"/>
      <c r="G18" s="36" t="n"/>
      <c r="H18" s="38" t="n"/>
      <c r="I18" s="41">
        <f>IF(C18&gt;0,E18*12/C18,"")</f>
        <v/>
      </c>
      <c r="J18" s="41">
        <f>IF(C18&gt;0,(E18*12*(1-H18)-F18*12-G18)/C18,"")</f>
        <v/>
      </c>
      <c r="K18" s="36">
        <f>IF(C18&gt;0,C18*1.07+MIN(C18*0.01,30000),"")</f>
        <v/>
      </c>
      <c r="L18" s="42">
        <f>IF(E18&gt;0,C18/(E18*12),"")</f>
        <v/>
      </c>
      <c r="M18" s="38" t="n"/>
      <c r="N18" s="41" t="n"/>
      <c r="O18" s="11" t="n"/>
      <c r="P18" s="36">
        <f>IF(AND(C18&gt;0,N18&gt;0),PMT(N18/12,O18*12,-C18*(1-M18)),"")</f>
        <v/>
      </c>
      <c r="Q18" s="11" t="n"/>
    </row>
    <row r="19">
      <c r="A19" s="9" t="n"/>
      <c r="B19" s="33" t="n"/>
      <c r="C19" s="33" t="n"/>
      <c r="D19" s="9" t="n"/>
      <c r="E19" s="33" t="n"/>
      <c r="F19" s="33" t="n"/>
      <c r="G19" s="33" t="n"/>
      <c r="H19" s="35" t="n"/>
      <c r="I19" s="39">
        <f>IF(C19&gt;0,E19*12/C19,"")</f>
        <v/>
      </c>
      <c r="J19" s="39">
        <f>IF(C19&gt;0,(E19*12*(1-H19)-F19*12-G19)/C19,"")</f>
        <v/>
      </c>
      <c r="K19" s="33">
        <f>IF(C19&gt;0,C19*1.07+MIN(C19*0.01,30000),"")</f>
        <v/>
      </c>
      <c r="L19" s="40">
        <f>IF(E19&gt;0,C19/(E19*12),"")</f>
        <v/>
      </c>
      <c r="M19" s="35" t="n"/>
      <c r="N19" s="39" t="n"/>
      <c r="O19" s="9" t="n"/>
      <c r="P19" s="33">
        <f>IF(AND(C19&gt;0,N19&gt;0),PMT(N19/12,O19*12,-C19*(1-M19)),"")</f>
        <v/>
      </c>
      <c r="Q19" s="9" t="n"/>
    </row>
    <row r="20">
      <c r="A20" s="11" t="n"/>
      <c r="B20" s="36" t="n"/>
      <c r="C20" s="36" t="n"/>
      <c r="D20" s="11" t="n"/>
      <c r="E20" s="36" t="n"/>
      <c r="F20" s="36" t="n"/>
      <c r="G20" s="36" t="n"/>
      <c r="H20" s="38" t="n"/>
      <c r="I20" s="41">
        <f>IF(C20&gt;0,E20*12/C20,"")</f>
        <v/>
      </c>
      <c r="J20" s="41">
        <f>IF(C20&gt;0,(E20*12*(1-H20)-F20*12-G20)/C20,"")</f>
        <v/>
      </c>
      <c r="K20" s="36">
        <f>IF(C20&gt;0,C20*1.07+MIN(C20*0.01,30000),"")</f>
        <v/>
      </c>
      <c r="L20" s="42">
        <f>IF(E20&gt;0,C20/(E20*12),"")</f>
        <v/>
      </c>
      <c r="M20" s="38" t="n"/>
      <c r="N20" s="41" t="n"/>
      <c r="O20" s="11" t="n"/>
      <c r="P20" s="36">
        <f>IF(AND(C20&gt;0,N20&gt;0),PMT(N20/12,O20*12,-C20*(1-M20)),"")</f>
        <v/>
      </c>
      <c r="Q20" s="11" t="n"/>
    </row>
    <row r="21">
      <c r="A21" s="9" t="n"/>
      <c r="B21" s="33" t="n"/>
      <c r="C21" s="33" t="n"/>
      <c r="D21" s="9" t="n"/>
      <c r="E21" s="33" t="n"/>
      <c r="F21" s="33" t="n"/>
      <c r="G21" s="33" t="n"/>
      <c r="H21" s="35" t="n"/>
      <c r="I21" s="39">
        <f>IF(C21&gt;0,E21*12/C21,"")</f>
        <v/>
      </c>
      <c r="J21" s="39">
        <f>IF(C21&gt;0,(E21*12*(1-H21)-F21*12-G21)/C21,"")</f>
        <v/>
      </c>
      <c r="K21" s="33">
        <f>IF(C21&gt;0,C21*1.07+MIN(C21*0.01,30000),"")</f>
        <v/>
      </c>
      <c r="L21" s="40">
        <f>IF(E21&gt;0,C21/(E21*12),"")</f>
        <v/>
      </c>
      <c r="M21" s="35" t="n"/>
      <c r="N21" s="39" t="n"/>
      <c r="O21" s="9" t="n"/>
      <c r="P21" s="33">
        <f>IF(AND(C21&gt;0,N21&gt;0),PMT(N21/12,O21*12,-C21*(1-M21)),"")</f>
        <v/>
      </c>
      <c r="Q21" s="9" t="n"/>
    </row>
    <row r="22">
      <c r="A22" s="11" t="n"/>
      <c r="B22" s="36" t="n"/>
      <c r="C22" s="36" t="n"/>
      <c r="D22" s="11" t="n"/>
      <c r="E22" s="36" t="n"/>
      <c r="F22" s="36" t="n"/>
      <c r="G22" s="36" t="n"/>
      <c r="H22" s="38" t="n"/>
      <c r="I22" s="41">
        <f>IF(C22&gt;0,E22*12/C22,"")</f>
        <v/>
      </c>
      <c r="J22" s="41">
        <f>IF(C22&gt;0,(E22*12*(1-H22)-F22*12-G22)/C22,"")</f>
        <v/>
      </c>
      <c r="K22" s="36">
        <f>IF(C22&gt;0,C22*1.07+MIN(C22*0.01,30000),"")</f>
        <v/>
      </c>
      <c r="L22" s="42">
        <f>IF(E22&gt;0,C22/(E22*12),"")</f>
        <v/>
      </c>
      <c r="M22" s="38" t="n"/>
      <c r="N22" s="41" t="n"/>
      <c r="O22" s="11" t="n"/>
      <c r="P22" s="36">
        <f>IF(AND(C22&gt;0,N22&gt;0),PMT(N22/12,O22*12,-C22*(1-M22)),"")</f>
        <v/>
      </c>
      <c r="Q22" s="11" t="n"/>
    </row>
    <row r="23">
      <c r="A23" s="9" t="n"/>
      <c r="B23" s="33" t="n"/>
      <c r="C23" s="33" t="n"/>
      <c r="D23" s="9" t="n"/>
      <c r="E23" s="33" t="n"/>
      <c r="F23" s="33" t="n"/>
      <c r="G23" s="33" t="n"/>
      <c r="H23" s="35" t="n"/>
      <c r="I23" s="39">
        <f>IF(C23&gt;0,E23*12/C23,"")</f>
        <v/>
      </c>
      <c r="J23" s="39">
        <f>IF(C23&gt;0,(E23*12*(1-H23)-F23*12-G23)/C23,"")</f>
        <v/>
      </c>
      <c r="K23" s="33">
        <f>IF(C23&gt;0,C23*1.07+MIN(C23*0.01,30000),"")</f>
        <v/>
      </c>
      <c r="L23" s="40">
        <f>IF(E23&gt;0,C23/(E23*12),"")</f>
        <v/>
      </c>
      <c r="M23" s="35" t="n"/>
      <c r="N23" s="39" t="n"/>
      <c r="O23" s="9" t="n"/>
      <c r="P23" s="33">
        <f>IF(AND(C23&gt;0,N23&gt;0),PMT(N23/12,O23*12,-C23*(1-M23)),"")</f>
        <v/>
      </c>
      <c r="Q23" s="9" t="n"/>
    </row>
    <row r="24">
      <c r="A24" s="11" t="n"/>
      <c r="B24" s="36" t="n"/>
      <c r="C24" s="36" t="n"/>
      <c r="D24" s="11" t="n"/>
      <c r="E24" s="36" t="n"/>
      <c r="F24" s="36" t="n"/>
      <c r="G24" s="36" t="n"/>
      <c r="H24" s="38" t="n"/>
      <c r="I24" s="41">
        <f>IF(C24&gt;0,E24*12/C24,"")</f>
        <v/>
      </c>
      <c r="J24" s="41">
        <f>IF(C24&gt;0,(E24*12*(1-H24)-F24*12-G24)/C24,"")</f>
        <v/>
      </c>
      <c r="K24" s="36">
        <f>IF(C24&gt;0,C24*1.07+MIN(C24*0.01,30000),"")</f>
        <v/>
      </c>
      <c r="L24" s="42">
        <f>IF(E24&gt;0,C24/(E24*12),"")</f>
        <v/>
      </c>
      <c r="M24" s="38" t="n"/>
      <c r="N24" s="41" t="n"/>
      <c r="O24" s="11" t="n"/>
      <c r="P24" s="36">
        <f>IF(AND(C24&gt;0,N24&gt;0),PMT(N24/12,O24*12,-C24*(1-M24)),"")</f>
        <v/>
      </c>
      <c r="Q24" s="11" t="n"/>
    </row>
    <row r="25">
      <c r="A25" s="9" t="n"/>
      <c r="B25" s="33" t="n"/>
      <c r="C25" s="33" t="n"/>
      <c r="D25" s="9" t="n"/>
      <c r="E25" s="33" t="n"/>
      <c r="F25" s="33" t="n"/>
      <c r="G25" s="33" t="n"/>
      <c r="H25" s="35" t="n"/>
      <c r="I25" s="39">
        <f>IF(C25&gt;0,E25*12/C25,"")</f>
        <v/>
      </c>
      <c r="J25" s="39">
        <f>IF(C25&gt;0,(E25*12*(1-H25)-F25*12-G25)/C25,"")</f>
        <v/>
      </c>
      <c r="K25" s="33">
        <f>IF(C25&gt;0,C25*1.07+MIN(C25*0.01,30000),"")</f>
        <v/>
      </c>
      <c r="L25" s="40">
        <f>IF(E25&gt;0,C25/(E25*12),"")</f>
        <v/>
      </c>
      <c r="M25" s="35" t="n"/>
      <c r="N25" s="39" t="n"/>
      <c r="O25" s="9" t="n"/>
      <c r="P25" s="33">
        <f>IF(AND(C25&gt;0,N25&gt;0),PMT(N25/12,O25*12,-C25*(1-M25)),"")</f>
        <v/>
      </c>
      <c r="Q25" s="9" t="n"/>
    </row>
    <row r="26">
      <c r="A26" s="11" t="n"/>
      <c r="B26" s="36" t="n"/>
      <c r="C26" s="36" t="n"/>
      <c r="D26" s="11" t="n"/>
      <c r="E26" s="36" t="n"/>
      <c r="F26" s="36" t="n"/>
      <c r="G26" s="36" t="n"/>
      <c r="H26" s="38" t="n"/>
      <c r="I26" s="41">
        <f>IF(C26&gt;0,E26*12/C26,"")</f>
        <v/>
      </c>
      <c r="J26" s="41">
        <f>IF(C26&gt;0,(E26*12*(1-H26)-F26*12-G26)/C26,"")</f>
        <v/>
      </c>
      <c r="K26" s="36">
        <f>IF(C26&gt;0,C26*1.07+MIN(C26*0.01,30000),"")</f>
        <v/>
      </c>
      <c r="L26" s="42">
        <f>IF(E26&gt;0,C26/(E26*12),"")</f>
        <v/>
      </c>
      <c r="M26" s="38" t="n"/>
      <c r="N26" s="41" t="n"/>
      <c r="O26" s="11" t="n"/>
      <c r="P26" s="36">
        <f>IF(AND(C26&gt;0,N26&gt;0),PMT(N26/12,O26*12,-C26*(1-M26)),"")</f>
        <v/>
      </c>
      <c r="Q26" s="11" t="n"/>
    </row>
    <row r="27">
      <c r="A27" s="9" t="n"/>
      <c r="B27" s="33" t="n"/>
      <c r="C27" s="33" t="n"/>
      <c r="D27" s="9" t="n"/>
      <c r="E27" s="33" t="n"/>
      <c r="F27" s="33" t="n"/>
      <c r="G27" s="33" t="n"/>
      <c r="H27" s="35" t="n"/>
      <c r="I27" s="39">
        <f>IF(C27&gt;0,E27*12/C27,"")</f>
        <v/>
      </c>
      <c r="J27" s="39">
        <f>IF(C27&gt;0,(E27*12*(1-H27)-F27*12-G27)/C27,"")</f>
        <v/>
      </c>
      <c r="K27" s="33">
        <f>IF(C27&gt;0,C27*1.07+MIN(C27*0.01,30000),"")</f>
        <v/>
      </c>
      <c r="L27" s="40">
        <f>IF(E27&gt;0,C27/(E27*12),"")</f>
        <v/>
      </c>
      <c r="M27" s="35" t="n"/>
      <c r="N27" s="39" t="n"/>
      <c r="O27" s="9" t="n"/>
      <c r="P27" s="33">
        <f>IF(AND(C27&gt;0,N27&gt;0),PMT(N27/12,O27*12,-C27*(1-M27)),"")</f>
        <v/>
      </c>
      <c r="Q27" s="9" t="n"/>
    </row>
    <row r="28">
      <c r="A28" s="11" t="n"/>
      <c r="B28" s="36" t="n"/>
      <c r="C28" s="36" t="n"/>
      <c r="D28" s="11" t="n"/>
      <c r="E28" s="36" t="n"/>
      <c r="F28" s="36" t="n"/>
      <c r="G28" s="36" t="n"/>
      <c r="H28" s="38" t="n"/>
      <c r="I28" s="41">
        <f>IF(C28&gt;0,E28*12/C28,"")</f>
        <v/>
      </c>
      <c r="J28" s="41">
        <f>IF(C28&gt;0,(E28*12*(1-H28)-F28*12-G28)/C28,"")</f>
        <v/>
      </c>
      <c r="K28" s="36">
        <f>IF(C28&gt;0,C28*1.07+MIN(C28*0.01,30000),"")</f>
        <v/>
      </c>
      <c r="L28" s="42">
        <f>IF(E28&gt;0,C28/(E28*12),"")</f>
        <v/>
      </c>
      <c r="M28" s="38" t="n"/>
      <c r="N28" s="41" t="n"/>
      <c r="O28" s="11" t="n"/>
      <c r="P28" s="36">
        <f>IF(AND(C28&gt;0,N28&gt;0),PMT(N28/12,O28*12,-C28*(1-M28)),"")</f>
        <v/>
      </c>
      <c r="Q28" s="11" t="n"/>
    </row>
    <row r="29">
      <c r="A29" s="9" t="n"/>
      <c r="B29" s="33" t="n"/>
      <c r="C29" s="33" t="n"/>
      <c r="D29" s="9" t="n"/>
      <c r="E29" s="33" t="n"/>
      <c r="F29" s="33" t="n"/>
      <c r="G29" s="33" t="n"/>
      <c r="H29" s="35" t="n"/>
      <c r="I29" s="39">
        <f>IF(C29&gt;0,E29*12/C29,"")</f>
        <v/>
      </c>
      <c r="J29" s="39">
        <f>IF(C29&gt;0,(E29*12*(1-H29)-F29*12-G29)/C29,"")</f>
        <v/>
      </c>
      <c r="K29" s="33">
        <f>IF(C29&gt;0,C29*1.07+MIN(C29*0.01,30000),"")</f>
        <v/>
      </c>
      <c r="L29" s="40">
        <f>IF(E29&gt;0,C29/(E29*12),"")</f>
        <v/>
      </c>
      <c r="M29" s="35" t="n"/>
      <c r="N29" s="39" t="n"/>
      <c r="O29" s="9" t="n"/>
      <c r="P29" s="33">
        <f>IF(AND(C29&gt;0,N29&gt;0),PMT(N29/12,O29*12,-C29*(1-M29)),"")</f>
        <v/>
      </c>
      <c r="Q29" s="9" t="n"/>
    </row>
    <row r="30">
      <c r="A30" s="11" t="n"/>
      <c r="B30" s="36" t="n"/>
      <c r="C30" s="36" t="n"/>
      <c r="D30" s="11" t="n"/>
      <c r="E30" s="36" t="n"/>
      <c r="F30" s="36" t="n"/>
      <c r="G30" s="36" t="n"/>
      <c r="H30" s="38" t="n"/>
      <c r="I30" s="41">
        <f>IF(C30&gt;0,E30*12/C30,"")</f>
        <v/>
      </c>
      <c r="J30" s="41">
        <f>IF(C30&gt;0,(E30*12*(1-H30)-F30*12-G30)/C30,"")</f>
        <v/>
      </c>
      <c r="K30" s="36">
        <f>IF(C30&gt;0,C30*1.07+MIN(C30*0.01,30000),"")</f>
        <v/>
      </c>
      <c r="L30" s="42">
        <f>IF(E30&gt;0,C30/(E30*12),"")</f>
        <v/>
      </c>
      <c r="M30" s="38" t="n"/>
      <c r="N30" s="41" t="n"/>
      <c r="O30" s="11" t="n"/>
      <c r="P30" s="36">
        <f>IF(AND(C30&gt;0,N30&gt;0),PMT(N30/12,O30*12,-C30*(1-M30)),"")</f>
        <v/>
      </c>
      <c r="Q30" s="11" t="n"/>
    </row>
    <row r="31">
      <c r="A31" s="9" t="n"/>
      <c r="B31" s="33" t="n"/>
      <c r="C31" s="33" t="n"/>
      <c r="D31" s="9" t="n"/>
      <c r="E31" s="33" t="n"/>
      <c r="F31" s="33" t="n"/>
      <c r="G31" s="33" t="n"/>
      <c r="H31" s="35" t="n"/>
      <c r="I31" s="39">
        <f>IF(C31&gt;0,E31*12/C31,"")</f>
        <v/>
      </c>
      <c r="J31" s="39">
        <f>IF(C31&gt;0,(E31*12*(1-H31)-F31*12-G31)/C31,"")</f>
        <v/>
      </c>
      <c r="K31" s="33">
        <f>IF(C31&gt;0,C31*1.07+MIN(C31*0.01,30000),"")</f>
        <v/>
      </c>
      <c r="L31" s="40">
        <f>IF(E31&gt;0,C31/(E31*12),"")</f>
        <v/>
      </c>
      <c r="M31" s="35" t="n"/>
      <c r="N31" s="39" t="n"/>
      <c r="O31" s="9" t="n"/>
      <c r="P31" s="33">
        <f>IF(AND(C31&gt;0,N31&gt;0),PMT(N31/12,O31*12,-C31*(1-M31)),"")</f>
        <v/>
      </c>
      <c r="Q31" s="9" t="n"/>
    </row>
    <row r="32">
      <c r="A32" s="11" t="n"/>
      <c r="B32" s="36" t="n"/>
      <c r="C32" s="36" t="n"/>
      <c r="D32" s="11" t="n"/>
      <c r="E32" s="36" t="n"/>
      <c r="F32" s="36" t="n"/>
      <c r="G32" s="36" t="n"/>
      <c r="H32" s="38" t="n"/>
      <c r="I32" s="41">
        <f>IF(C32&gt;0,E32*12/C32,"")</f>
        <v/>
      </c>
      <c r="J32" s="41">
        <f>IF(C32&gt;0,(E32*12*(1-H32)-F32*12-G32)/C32,"")</f>
        <v/>
      </c>
      <c r="K32" s="36">
        <f>IF(C32&gt;0,C32*1.07+MIN(C32*0.01,30000),"")</f>
        <v/>
      </c>
      <c r="L32" s="42">
        <f>IF(E32&gt;0,C32/(E32*12),"")</f>
        <v/>
      </c>
      <c r="M32" s="38" t="n"/>
      <c r="N32" s="41" t="n"/>
      <c r="O32" s="11" t="n"/>
      <c r="P32" s="36">
        <f>IF(AND(C32&gt;0,N32&gt;0),PMT(N32/12,O32*12,-C32*(1-M32)),"")</f>
        <v/>
      </c>
      <c r="Q32" s="11" t="n"/>
    </row>
    <row r="33">
      <c r="A33" s="9" t="n"/>
      <c r="B33" s="33" t="n"/>
      <c r="C33" s="33" t="n"/>
      <c r="D33" s="9" t="n"/>
      <c r="E33" s="33" t="n"/>
      <c r="F33" s="33" t="n"/>
      <c r="G33" s="33" t="n"/>
      <c r="H33" s="35" t="n"/>
      <c r="I33" s="39">
        <f>IF(C33&gt;0,E33*12/C33,"")</f>
        <v/>
      </c>
      <c r="J33" s="39">
        <f>IF(C33&gt;0,(E33*12*(1-H33)-F33*12-G33)/C33,"")</f>
        <v/>
      </c>
      <c r="K33" s="33">
        <f>IF(C33&gt;0,C33*1.07+MIN(C33*0.01,30000),"")</f>
        <v/>
      </c>
      <c r="L33" s="40">
        <f>IF(E33&gt;0,C33/(E33*12),"")</f>
        <v/>
      </c>
      <c r="M33" s="35" t="n"/>
      <c r="N33" s="39" t="n"/>
      <c r="O33" s="9" t="n"/>
      <c r="P33" s="33">
        <f>IF(AND(C33&gt;0,N33&gt;0),PMT(N33/12,O33*12,-C33*(1-M33)),"")</f>
        <v/>
      </c>
      <c r="Q33" s="9" t="n"/>
    </row>
    <row r="34">
      <c r="A34" s="11" t="n"/>
      <c r="B34" s="36" t="n"/>
      <c r="C34" s="36" t="n"/>
      <c r="D34" s="11" t="n"/>
      <c r="E34" s="36" t="n"/>
      <c r="F34" s="36" t="n"/>
      <c r="G34" s="36" t="n"/>
      <c r="H34" s="38" t="n"/>
      <c r="I34" s="41">
        <f>IF(C34&gt;0,E34*12/C34,"")</f>
        <v/>
      </c>
      <c r="J34" s="41">
        <f>IF(C34&gt;0,(E34*12*(1-H34)-F34*12-G34)/C34,"")</f>
        <v/>
      </c>
      <c r="K34" s="36">
        <f>IF(C34&gt;0,C34*1.07+MIN(C34*0.01,30000),"")</f>
        <v/>
      </c>
      <c r="L34" s="42">
        <f>IF(E34&gt;0,C34/(E34*12),"")</f>
        <v/>
      </c>
      <c r="M34" s="38" t="n"/>
      <c r="N34" s="41" t="n"/>
      <c r="O34" s="11" t="n"/>
      <c r="P34" s="36">
        <f>IF(AND(C34&gt;0,N34&gt;0),PMT(N34/12,O34*12,-C34*(1-M34)),"")</f>
        <v/>
      </c>
      <c r="Q34" s="11" t="n"/>
    </row>
    <row r="35">
      <c r="A35" s="9" t="n"/>
      <c r="B35" s="33" t="n"/>
      <c r="C35" s="33" t="n"/>
      <c r="D35" s="9" t="n"/>
      <c r="E35" s="33" t="n"/>
      <c r="F35" s="33" t="n"/>
      <c r="G35" s="33" t="n"/>
      <c r="H35" s="35" t="n"/>
      <c r="I35" s="39">
        <f>IF(C35&gt;0,E35*12/C35,"")</f>
        <v/>
      </c>
      <c r="J35" s="39">
        <f>IF(C35&gt;0,(E35*12*(1-H35)-F35*12-G35)/C35,"")</f>
        <v/>
      </c>
      <c r="K35" s="33">
        <f>IF(C35&gt;0,C35*1.07+MIN(C35*0.01,30000),"")</f>
        <v/>
      </c>
      <c r="L35" s="40">
        <f>IF(E35&gt;0,C35/(E35*12),"")</f>
        <v/>
      </c>
      <c r="M35" s="35" t="n"/>
      <c r="N35" s="39" t="n"/>
      <c r="O35" s="9" t="n"/>
      <c r="P35" s="33">
        <f>IF(AND(C35&gt;0,N35&gt;0),PMT(N35/12,O35*12,-C35*(1-M35)),"")</f>
        <v/>
      </c>
      <c r="Q35" s="9" t="n"/>
    </row>
    <row r="36">
      <c r="A36" s="11" t="n"/>
      <c r="B36" s="36" t="n"/>
      <c r="C36" s="36" t="n"/>
      <c r="D36" s="11" t="n"/>
      <c r="E36" s="36" t="n"/>
      <c r="F36" s="36" t="n"/>
      <c r="G36" s="36" t="n"/>
      <c r="H36" s="38" t="n"/>
      <c r="I36" s="41">
        <f>IF(C36&gt;0,E36*12/C36,"")</f>
        <v/>
      </c>
      <c r="J36" s="41">
        <f>IF(C36&gt;0,(E36*12*(1-H36)-F36*12-G36)/C36,"")</f>
        <v/>
      </c>
      <c r="K36" s="36">
        <f>IF(C36&gt;0,C36*1.07+MIN(C36*0.01,30000),"")</f>
        <v/>
      </c>
      <c r="L36" s="42">
        <f>IF(E36&gt;0,C36/(E36*12),"")</f>
        <v/>
      </c>
      <c r="M36" s="38" t="n"/>
      <c r="N36" s="41" t="n"/>
      <c r="O36" s="11" t="n"/>
      <c r="P36" s="36">
        <f>IF(AND(C36&gt;0,N36&gt;0),PMT(N36/12,O36*12,-C36*(1-M36)),"")</f>
        <v/>
      </c>
      <c r="Q36" s="11" t="n"/>
    </row>
    <row r="37">
      <c r="A37" s="9" t="n"/>
      <c r="B37" s="33" t="n"/>
      <c r="C37" s="33" t="n"/>
      <c r="D37" s="9" t="n"/>
      <c r="E37" s="33" t="n"/>
      <c r="F37" s="33" t="n"/>
      <c r="G37" s="33" t="n"/>
      <c r="H37" s="35" t="n"/>
      <c r="I37" s="39">
        <f>IF(C37&gt;0,E37*12/C37,"")</f>
        <v/>
      </c>
      <c r="J37" s="39">
        <f>IF(C37&gt;0,(E37*12*(1-H37)-F37*12-G37)/C37,"")</f>
        <v/>
      </c>
      <c r="K37" s="33">
        <f>IF(C37&gt;0,C37*1.07+MIN(C37*0.01,30000),"")</f>
        <v/>
      </c>
      <c r="L37" s="40">
        <f>IF(E37&gt;0,C37/(E37*12),"")</f>
        <v/>
      </c>
      <c r="M37" s="35" t="n"/>
      <c r="N37" s="39" t="n"/>
      <c r="O37" s="9" t="n"/>
      <c r="P37" s="33">
        <f>IF(AND(C37&gt;0,N37&gt;0),PMT(N37/12,O37*12,-C37*(1-M37)),"")</f>
        <v/>
      </c>
      <c r="Q37" s="9" t="n"/>
    </row>
    <row r="38">
      <c r="A38" s="11" t="n"/>
      <c r="B38" s="36" t="n"/>
      <c r="C38" s="36" t="n"/>
      <c r="D38" s="11" t="n"/>
      <c r="E38" s="36" t="n"/>
      <c r="F38" s="36" t="n"/>
      <c r="G38" s="36" t="n"/>
      <c r="H38" s="38" t="n"/>
      <c r="I38" s="41">
        <f>IF(C38&gt;0,E38*12/C38,"")</f>
        <v/>
      </c>
      <c r="J38" s="41">
        <f>IF(C38&gt;0,(E38*12*(1-H38)-F38*12-G38)/C38,"")</f>
        <v/>
      </c>
      <c r="K38" s="36">
        <f>IF(C38&gt;0,C38*1.07+MIN(C38*0.01,30000),"")</f>
        <v/>
      </c>
      <c r="L38" s="42">
        <f>IF(E38&gt;0,C38/(E38*12),"")</f>
        <v/>
      </c>
      <c r="M38" s="38" t="n"/>
      <c r="N38" s="41" t="n"/>
      <c r="O38" s="11" t="n"/>
      <c r="P38" s="36">
        <f>IF(AND(C38&gt;0,N38&gt;0),PMT(N38/12,O38*12,-C38*(1-M38)),"")</f>
        <v/>
      </c>
      <c r="Q38" s="11" t="n"/>
    </row>
    <row r="39">
      <c r="A39" s="9" t="n"/>
      <c r="B39" s="33" t="n"/>
      <c r="C39" s="33" t="n"/>
      <c r="D39" s="9" t="n"/>
      <c r="E39" s="33" t="n"/>
      <c r="F39" s="33" t="n"/>
      <c r="G39" s="33" t="n"/>
      <c r="H39" s="35" t="n"/>
      <c r="I39" s="39">
        <f>IF(C39&gt;0,E39*12/C39,"")</f>
        <v/>
      </c>
      <c r="J39" s="39">
        <f>IF(C39&gt;0,(E39*12*(1-H39)-F39*12-G39)/C39,"")</f>
        <v/>
      </c>
      <c r="K39" s="33">
        <f>IF(C39&gt;0,C39*1.07+MIN(C39*0.01,30000),"")</f>
        <v/>
      </c>
      <c r="L39" s="40">
        <f>IF(E39&gt;0,C39/(E39*12),"")</f>
        <v/>
      </c>
      <c r="M39" s="35" t="n"/>
      <c r="N39" s="39" t="n"/>
      <c r="O39" s="9" t="n"/>
      <c r="P39" s="33">
        <f>IF(AND(C39&gt;0,N39&gt;0),PMT(N39/12,O39*12,-C39*(1-M39)),"")</f>
        <v/>
      </c>
      <c r="Q39" s="9" t="n"/>
    </row>
    <row r="40">
      <c r="A40" s="11" t="n"/>
      <c r="B40" s="36" t="n"/>
      <c r="C40" s="36" t="n"/>
      <c r="D40" s="11" t="n"/>
      <c r="E40" s="36" t="n"/>
      <c r="F40" s="36" t="n"/>
      <c r="G40" s="36" t="n"/>
      <c r="H40" s="38" t="n"/>
      <c r="I40" s="41">
        <f>IF(C40&gt;0,E40*12/C40,"")</f>
        <v/>
      </c>
      <c r="J40" s="41">
        <f>IF(C40&gt;0,(E40*12*(1-H40)-F40*12-G40)/C40,"")</f>
        <v/>
      </c>
      <c r="K40" s="36">
        <f>IF(C40&gt;0,C40*1.07+MIN(C40*0.01,30000),"")</f>
        <v/>
      </c>
      <c r="L40" s="42">
        <f>IF(E40&gt;0,C40/(E40*12),"")</f>
        <v/>
      </c>
      <c r="M40" s="38" t="n"/>
      <c r="N40" s="41" t="n"/>
      <c r="O40" s="11" t="n"/>
      <c r="P40" s="36">
        <f>IF(AND(C40&gt;0,N40&gt;0),PMT(N40/12,O40*12,-C40*(1-M40)),"")</f>
        <v/>
      </c>
      <c r="Q40" s="11" t="n"/>
    </row>
    <row r="41">
      <c r="A41" s="9" t="n"/>
      <c r="B41" s="33" t="n"/>
      <c r="C41" s="33" t="n"/>
      <c r="D41" s="9" t="n"/>
      <c r="E41" s="33" t="n"/>
      <c r="F41" s="33" t="n"/>
      <c r="G41" s="33" t="n"/>
      <c r="H41" s="35" t="n"/>
      <c r="I41" s="39">
        <f>IF(C41&gt;0,E41*12/C41,"")</f>
        <v/>
      </c>
      <c r="J41" s="39">
        <f>IF(C41&gt;0,(E41*12*(1-H41)-F41*12-G41)/C41,"")</f>
        <v/>
      </c>
      <c r="K41" s="33">
        <f>IF(C41&gt;0,C41*1.07+MIN(C41*0.01,30000),"")</f>
        <v/>
      </c>
      <c r="L41" s="40">
        <f>IF(E41&gt;0,C41/(E41*12),"")</f>
        <v/>
      </c>
      <c r="M41" s="35" t="n"/>
      <c r="N41" s="39" t="n"/>
      <c r="O41" s="9" t="n"/>
      <c r="P41" s="33">
        <f>IF(AND(C41&gt;0,N41&gt;0),PMT(N41/12,O41*12,-C41*(1-M41)),"")</f>
        <v/>
      </c>
      <c r="Q41" s="9" t="n"/>
    </row>
    <row r="42">
      <c r="A42" s="11" t="n"/>
      <c r="B42" s="36" t="n"/>
      <c r="C42" s="36" t="n"/>
      <c r="D42" s="11" t="n"/>
      <c r="E42" s="36" t="n"/>
      <c r="F42" s="36" t="n"/>
      <c r="G42" s="36" t="n"/>
      <c r="H42" s="38" t="n"/>
      <c r="I42" s="41">
        <f>IF(C42&gt;0,E42*12/C42,"")</f>
        <v/>
      </c>
      <c r="J42" s="41">
        <f>IF(C42&gt;0,(E42*12*(1-H42)-F42*12-G42)/C42,"")</f>
        <v/>
      </c>
      <c r="K42" s="36">
        <f>IF(C42&gt;0,C42*1.07+MIN(C42*0.01,30000),"")</f>
        <v/>
      </c>
      <c r="L42" s="42">
        <f>IF(E42&gt;0,C42/(E42*12),"")</f>
        <v/>
      </c>
      <c r="M42" s="38" t="n"/>
      <c r="N42" s="41" t="n"/>
      <c r="O42" s="11" t="n"/>
      <c r="P42" s="36">
        <f>IF(AND(C42&gt;0,N42&gt;0),PMT(N42/12,O42*12,-C42*(1-M42)),"")</f>
        <v/>
      </c>
      <c r="Q42" s="11" t="n"/>
    </row>
    <row r="43">
      <c r="A43" s="9" t="n"/>
      <c r="B43" s="33" t="n"/>
      <c r="C43" s="33" t="n"/>
      <c r="D43" s="9" t="n"/>
      <c r="E43" s="33" t="n"/>
      <c r="F43" s="33" t="n"/>
      <c r="G43" s="33" t="n"/>
      <c r="H43" s="35" t="n"/>
      <c r="I43" s="39">
        <f>IF(C43&gt;0,E43*12/C43,"")</f>
        <v/>
      </c>
      <c r="J43" s="39">
        <f>IF(C43&gt;0,(E43*12*(1-H43)-F43*12-G43)/C43,"")</f>
        <v/>
      </c>
      <c r="K43" s="33">
        <f>IF(C43&gt;0,C43*1.07+MIN(C43*0.01,30000),"")</f>
        <v/>
      </c>
      <c r="L43" s="40">
        <f>IF(E43&gt;0,C43/(E43*12),"")</f>
        <v/>
      </c>
      <c r="M43" s="35" t="n"/>
      <c r="N43" s="39" t="n"/>
      <c r="O43" s="9" t="n"/>
      <c r="P43" s="33">
        <f>IF(AND(C43&gt;0,N43&gt;0),PMT(N43/12,O43*12,-C43*(1-M43)),"")</f>
        <v/>
      </c>
      <c r="Q43" s="9" t="n"/>
    </row>
    <row r="44">
      <c r="A44" s="11" t="n"/>
      <c r="B44" s="36" t="n"/>
      <c r="C44" s="36" t="n"/>
      <c r="D44" s="11" t="n"/>
      <c r="E44" s="36" t="n"/>
      <c r="F44" s="36" t="n"/>
      <c r="G44" s="36" t="n"/>
      <c r="H44" s="38" t="n"/>
      <c r="I44" s="41">
        <f>IF(C44&gt;0,E44*12/C44,"")</f>
        <v/>
      </c>
      <c r="J44" s="41">
        <f>IF(C44&gt;0,(E44*12*(1-H44)-F44*12-G44)/C44,"")</f>
        <v/>
      </c>
      <c r="K44" s="36">
        <f>IF(C44&gt;0,C44*1.07+MIN(C44*0.01,30000),"")</f>
        <v/>
      </c>
      <c r="L44" s="42">
        <f>IF(E44&gt;0,C44/(E44*12),"")</f>
        <v/>
      </c>
      <c r="M44" s="38" t="n"/>
      <c r="N44" s="41" t="n"/>
      <c r="O44" s="11" t="n"/>
      <c r="P44" s="36">
        <f>IF(AND(C44&gt;0,N44&gt;0),PMT(N44/12,O44*12,-C44*(1-M44)),"")</f>
        <v/>
      </c>
      <c r="Q44" s="11" t="n"/>
    </row>
    <row r="45">
      <c r="A45" s="9" t="n"/>
      <c r="B45" s="33" t="n"/>
      <c r="C45" s="33" t="n"/>
      <c r="D45" s="9" t="n"/>
      <c r="E45" s="33" t="n"/>
      <c r="F45" s="33" t="n"/>
      <c r="G45" s="33" t="n"/>
      <c r="H45" s="35" t="n"/>
      <c r="I45" s="39">
        <f>IF(C45&gt;0,E45*12/C45,"")</f>
        <v/>
      </c>
      <c r="J45" s="39">
        <f>IF(C45&gt;0,(E45*12*(1-H45)-F45*12-G45)/C45,"")</f>
        <v/>
      </c>
      <c r="K45" s="33">
        <f>IF(C45&gt;0,C45*1.07+MIN(C45*0.01,30000),"")</f>
        <v/>
      </c>
      <c r="L45" s="40">
        <f>IF(E45&gt;0,C45/(E45*12),"")</f>
        <v/>
      </c>
      <c r="M45" s="35" t="n"/>
      <c r="N45" s="39" t="n"/>
      <c r="O45" s="9" t="n"/>
      <c r="P45" s="33">
        <f>IF(AND(C45&gt;0,N45&gt;0),PMT(N45/12,O45*12,-C45*(1-M45)),"")</f>
        <v/>
      </c>
      <c r="Q45" s="9" t="n"/>
    </row>
    <row r="46">
      <c r="A46" s="11" t="n"/>
      <c r="B46" s="36" t="n"/>
      <c r="C46" s="36" t="n"/>
      <c r="D46" s="11" t="n"/>
      <c r="E46" s="36" t="n"/>
      <c r="F46" s="36" t="n"/>
      <c r="G46" s="36" t="n"/>
      <c r="H46" s="38" t="n"/>
      <c r="I46" s="41">
        <f>IF(C46&gt;0,E46*12/C46,"")</f>
        <v/>
      </c>
      <c r="J46" s="41">
        <f>IF(C46&gt;0,(E46*12*(1-H46)-F46*12-G46)/C46,"")</f>
        <v/>
      </c>
      <c r="K46" s="36">
        <f>IF(C46&gt;0,C46*1.07+MIN(C46*0.01,30000),"")</f>
        <v/>
      </c>
      <c r="L46" s="42">
        <f>IF(E46&gt;0,C46/(E46*12),"")</f>
        <v/>
      </c>
      <c r="M46" s="38" t="n"/>
      <c r="N46" s="41" t="n"/>
      <c r="O46" s="11" t="n"/>
      <c r="P46" s="36">
        <f>IF(AND(C46&gt;0,N46&gt;0),PMT(N46/12,O46*12,-C46*(1-M46)),"")</f>
        <v/>
      </c>
      <c r="Q46" s="11" t="n"/>
    </row>
    <row r="47">
      <c r="A47" s="9" t="n"/>
      <c r="B47" s="33" t="n"/>
      <c r="C47" s="33" t="n"/>
      <c r="D47" s="9" t="n"/>
      <c r="E47" s="33" t="n"/>
      <c r="F47" s="33" t="n"/>
      <c r="G47" s="33" t="n"/>
      <c r="H47" s="35" t="n"/>
      <c r="I47" s="39">
        <f>IF(C47&gt;0,E47*12/C47,"")</f>
        <v/>
      </c>
      <c r="J47" s="39">
        <f>IF(C47&gt;0,(E47*12*(1-H47)-F47*12-G47)/C47,"")</f>
        <v/>
      </c>
      <c r="K47" s="33">
        <f>IF(C47&gt;0,C47*1.07+MIN(C47*0.01,30000),"")</f>
        <v/>
      </c>
      <c r="L47" s="40">
        <f>IF(E47&gt;0,C47/(E47*12),"")</f>
        <v/>
      </c>
      <c r="M47" s="35" t="n"/>
      <c r="N47" s="39" t="n"/>
      <c r="O47" s="9" t="n"/>
      <c r="P47" s="33">
        <f>IF(AND(C47&gt;0,N47&gt;0),PMT(N47/12,O47*12,-C47*(1-M47)),"")</f>
        <v/>
      </c>
      <c r="Q47" s="9" t="n"/>
    </row>
    <row r="48">
      <c r="A48" s="11" t="n"/>
      <c r="B48" s="36" t="n"/>
      <c r="C48" s="36" t="n"/>
      <c r="D48" s="11" t="n"/>
      <c r="E48" s="36" t="n"/>
      <c r="F48" s="36" t="n"/>
      <c r="G48" s="36" t="n"/>
      <c r="H48" s="38" t="n"/>
      <c r="I48" s="41">
        <f>IF(C48&gt;0,E48*12/C48,"")</f>
        <v/>
      </c>
      <c r="J48" s="41">
        <f>IF(C48&gt;0,(E48*12*(1-H48)-F48*12-G48)/C48,"")</f>
        <v/>
      </c>
      <c r="K48" s="36">
        <f>IF(C48&gt;0,C48*1.07+MIN(C48*0.01,30000),"")</f>
        <v/>
      </c>
      <c r="L48" s="42">
        <f>IF(E48&gt;0,C48/(E48*12),"")</f>
        <v/>
      </c>
      <c r="M48" s="38" t="n"/>
      <c r="N48" s="41" t="n"/>
      <c r="O48" s="11" t="n"/>
      <c r="P48" s="36">
        <f>IF(AND(C48&gt;0,N48&gt;0),PMT(N48/12,O48*12,-C48*(1-M48)),"")</f>
        <v/>
      </c>
      <c r="Q48" s="11" t="n"/>
    </row>
    <row r="49">
      <c r="A49" s="9" t="n"/>
      <c r="B49" s="33" t="n"/>
      <c r="C49" s="33" t="n"/>
      <c r="D49" s="9" t="n"/>
      <c r="E49" s="33" t="n"/>
      <c r="F49" s="33" t="n"/>
      <c r="G49" s="33" t="n"/>
      <c r="H49" s="35" t="n"/>
      <c r="I49" s="39">
        <f>IF(C49&gt;0,E49*12/C49,"")</f>
        <v/>
      </c>
      <c r="J49" s="39">
        <f>IF(C49&gt;0,(E49*12*(1-H49)-F49*12-G49)/C49,"")</f>
        <v/>
      </c>
      <c r="K49" s="33">
        <f>IF(C49&gt;0,C49*1.07+MIN(C49*0.01,30000),"")</f>
        <v/>
      </c>
      <c r="L49" s="40">
        <f>IF(E49&gt;0,C49/(E49*12),"")</f>
        <v/>
      </c>
      <c r="M49" s="35" t="n"/>
      <c r="N49" s="39" t="n"/>
      <c r="O49" s="9" t="n"/>
      <c r="P49" s="33">
        <f>IF(AND(C49&gt;0,N49&gt;0),PMT(N49/12,O49*12,-C49*(1-M49)),"")</f>
        <v/>
      </c>
      <c r="Q49" s="9" t="n"/>
    </row>
    <row r="50">
      <c r="A50" s="11" t="n"/>
      <c r="B50" s="36" t="n"/>
      <c r="C50" s="36" t="n"/>
      <c r="D50" s="11" t="n"/>
      <c r="E50" s="36" t="n"/>
      <c r="F50" s="36" t="n"/>
      <c r="G50" s="36" t="n"/>
      <c r="H50" s="38" t="n"/>
      <c r="I50" s="41">
        <f>IF(C50&gt;0,E50*12/C50,"")</f>
        <v/>
      </c>
      <c r="J50" s="41">
        <f>IF(C50&gt;0,(E50*12*(1-H50)-F50*12-G50)/C50,"")</f>
        <v/>
      </c>
      <c r="K50" s="36">
        <f>IF(C50&gt;0,C50*1.07+MIN(C50*0.01,30000),"")</f>
        <v/>
      </c>
      <c r="L50" s="42">
        <f>IF(E50&gt;0,C50/(E50*12),"")</f>
        <v/>
      </c>
      <c r="M50" s="38" t="n"/>
      <c r="N50" s="41" t="n"/>
      <c r="O50" s="11" t="n"/>
      <c r="P50" s="36">
        <f>IF(AND(C50&gt;0,N50&gt;0),PMT(N50/12,O50*12,-C50*(1-M50)),"")</f>
        <v/>
      </c>
      <c r="Q50" s="11" t="n"/>
    </row>
    <row r="51">
      <c r="A51" s="9" t="n"/>
      <c r="B51" s="33" t="n"/>
      <c r="C51" s="33" t="n"/>
      <c r="D51" s="9" t="n"/>
      <c r="E51" s="33" t="n"/>
      <c r="F51" s="33" t="n"/>
      <c r="G51" s="33" t="n"/>
      <c r="H51" s="35" t="n"/>
      <c r="I51" s="39">
        <f>IF(C51&gt;0,E51*12/C51,"")</f>
        <v/>
      </c>
      <c r="J51" s="39">
        <f>IF(C51&gt;0,(E51*12*(1-H51)-F51*12-G51)/C51,"")</f>
        <v/>
      </c>
      <c r="K51" s="33">
        <f>IF(C51&gt;0,C51*1.07+MIN(C51*0.01,30000),"")</f>
        <v/>
      </c>
      <c r="L51" s="40">
        <f>IF(E51&gt;0,C51/(E51*12),"")</f>
        <v/>
      </c>
      <c r="M51" s="35" t="n"/>
      <c r="N51" s="39" t="n"/>
      <c r="O51" s="9" t="n"/>
      <c r="P51" s="33">
        <f>IF(AND(C51&gt;0,N51&gt;0),PMT(N51/12,O51*12,-C51*(1-M51)),"")</f>
        <v/>
      </c>
      <c r="Q51" s="9" t="n"/>
    </row>
    <row r="52">
      <c r="A52" s="11" t="n"/>
      <c r="B52" s="36" t="n"/>
      <c r="C52" s="36" t="n"/>
      <c r="D52" s="11" t="n"/>
      <c r="E52" s="36" t="n"/>
      <c r="F52" s="36" t="n"/>
      <c r="G52" s="36" t="n"/>
      <c r="H52" s="38" t="n"/>
      <c r="I52" s="41">
        <f>IF(C52&gt;0,E52*12/C52,"")</f>
        <v/>
      </c>
      <c r="J52" s="41">
        <f>IF(C52&gt;0,(E52*12*(1-H52)-F52*12-G52)/C52,"")</f>
        <v/>
      </c>
      <c r="K52" s="36">
        <f>IF(C52&gt;0,C52*1.07+MIN(C52*0.01,30000),"")</f>
        <v/>
      </c>
      <c r="L52" s="42">
        <f>IF(E52&gt;0,C52/(E52*12),"")</f>
        <v/>
      </c>
      <c r="M52" s="38" t="n"/>
      <c r="N52" s="41" t="n"/>
      <c r="O52" s="11" t="n"/>
      <c r="P52" s="36">
        <f>IF(AND(C52&gt;0,N52&gt;0),PMT(N52/12,O52*12,-C52*(1-M52)),"")</f>
        <v/>
      </c>
      <c r="Q52" s="11" t="n"/>
    </row>
    <row r="53">
      <c r="A53" s="9" t="n"/>
      <c r="B53" s="33" t="n"/>
      <c r="C53" s="33" t="n"/>
      <c r="D53" s="9" t="n"/>
      <c r="E53" s="33" t="n"/>
      <c r="F53" s="33" t="n"/>
      <c r="G53" s="33" t="n"/>
      <c r="H53" s="35" t="n"/>
      <c r="I53" s="39">
        <f>IF(C53&gt;0,E53*12/C53,"")</f>
        <v/>
      </c>
      <c r="J53" s="39">
        <f>IF(C53&gt;0,(E53*12*(1-H53)-F53*12-G53)/C53,"")</f>
        <v/>
      </c>
      <c r="K53" s="33">
        <f>IF(C53&gt;0,C53*1.07+MIN(C53*0.01,30000),"")</f>
        <v/>
      </c>
      <c r="L53" s="40">
        <f>IF(E53&gt;0,C53/(E53*12),"")</f>
        <v/>
      </c>
      <c r="M53" s="35" t="n"/>
      <c r="N53" s="39" t="n"/>
      <c r="O53" s="9" t="n"/>
      <c r="P53" s="33">
        <f>IF(AND(C53&gt;0,N53&gt;0),PMT(N53/12,O53*12,-C53*(1-M53)),"")</f>
        <v/>
      </c>
      <c r="Q53" s="9" t="n"/>
    </row>
    <row r="54">
      <c r="A54" s="11" t="n"/>
      <c r="B54" s="36" t="n"/>
      <c r="C54" s="36" t="n"/>
      <c r="D54" s="11" t="n"/>
      <c r="E54" s="36" t="n"/>
      <c r="F54" s="36" t="n"/>
      <c r="G54" s="36" t="n"/>
      <c r="H54" s="38" t="n"/>
      <c r="I54" s="41">
        <f>IF(C54&gt;0,E54*12/C54,"")</f>
        <v/>
      </c>
      <c r="J54" s="41">
        <f>IF(C54&gt;0,(E54*12*(1-H54)-F54*12-G54)/C54,"")</f>
        <v/>
      </c>
      <c r="K54" s="36">
        <f>IF(C54&gt;0,C54*1.07+MIN(C54*0.01,30000),"")</f>
        <v/>
      </c>
      <c r="L54" s="42">
        <f>IF(E54&gt;0,C54/(E54*12),"")</f>
        <v/>
      </c>
      <c r="M54" s="38" t="n"/>
      <c r="N54" s="41" t="n"/>
      <c r="O54" s="11" t="n"/>
      <c r="P54" s="36">
        <f>IF(AND(C54&gt;0,N54&gt;0),PMT(N54/12,O54*12,-C54*(1-M54)),"")</f>
        <v/>
      </c>
      <c r="Q54" s="11" t="n"/>
    </row>
    <row r="55">
      <c r="A55" s="9" t="n"/>
      <c r="B55" s="33" t="n"/>
      <c r="C55" s="33" t="n"/>
      <c r="D55" s="9" t="n"/>
      <c r="E55" s="33" t="n"/>
      <c r="F55" s="33" t="n"/>
      <c r="G55" s="33" t="n"/>
      <c r="H55" s="35" t="n"/>
      <c r="I55" s="39">
        <f>IF(C55&gt;0,E55*12/C55,"")</f>
        <v/>
      </c>
      <c r="J55" s="39">
        <f>IF(C55&gt;0,(E55*12*(1-H55)-F55*12-G55)/C55,"")</f>
        <v/>
      </c>
      <c r="K55" s="33">
        <f>IF(C55&gt;0,C55*1.07+MIN(C55*0.01,30000),"")</f>
        <v/>
      </c>
      <c r="L55" s="40">
        <f>IF(E55&gt;0,C55/(E55*12),"")</f>
        <v/>
      </c>
      <c r="M55" s="35" t="n"/>
      <c r="N55" s="39" t="n"/>
      <c r="O55" s="9" t="n"/>
      <c r="P55" s="33">
        <f>IF(AND(C55&gt;0,N55&gt;0),PMT(N55/12,O55*12,-C55*(1-M55)),"")</f>
        <v/>
      </c>
      <c r="Q55" s="9" t="n"/>
    </row>
    <row r="56">
      <c r="A56" s="11" t="n"/>
      <c r="B56" s="36" t="n"/>
      <c r="C56" s="36" t="n"/>
      <c r="D56" s="11" t="n"/>
      <c r="E56" s="36" t="n"/>
      <c r="F56" s="36" t="n"/>
      <c r="G56" s="36" t="n"/>
      <c r="H56" s="38" t="n"/>
      <c r="I56" s="41">
        <f>IF(C56&gt;0,E56*12/C56,"")</f>
        <v/>
      </c>
      <c r="J56" s="41">
        <f>IF(C56&gt;0,(E56*12*(1-H56)-F56*12-G56)/C56,"")</f>
        <v/>
      </c>
      <c r="K56" s="36">
        <f>IF(C56&gt;0,C56*1.07+MIN(C56*0.01,30000),"")</f>
        <v/>
      </c>
      <c r="L56" s="42">
        <f>IF(E56&gt;0,C56/(E56*12),"")</f>
        <v/>
      </c>
      <c r="M56" s="38" t="n"/>
      <c r="N56" s="41" t="n"/>
      <c r="O56" s="11" t="n"/>
      <c r="P56" s="36">
        <f>IF(AND(C56&gt;0,N56&gt;0),PMT(N56/12,O56*12,-C56*(1-M56)),"")</f>
        <v/>
      </c>
      <c r="Q56" s="11" t="n"/>
    </row>
    <row r="57">
      <c r="A57" s="9" t="n"/>
      <c r="B57" s="33" t="n"/>
      <c r="C57" s="33" t="n"/>
      <c r="D57" s="9" t="n"/>
      <c r="E57" s="33" t="n"/>
      <c r="F57" s="33" t="n"/>
      <c r="G57" s="33" t="n"/>
      <c r="H57" s="35" t="n"/>
      <c r="I57" s="39">
        <f>IF(C57&gt;0,E57*12/C57,"")</f>
        <v/>
      </c>
      <c r="J57" s="39">
        <f>IF(C57&gt;0,(E57*12*(1-H57)-F57*12-G57)/C57,"")</f>
        <v/>
      </c>
      <c r="K57" s="33">
        <f>IF(C57&gt;0,C57*1.07+MIN(C57*0.01,30000),"")</f>
        <v/>
      </c>
      <c r="L57" s="40">
        <f>IF(E57&gt;0,C57/(E57*12),"")</f>
        <v/>
      </c>
      <c r="M57" s="35" t="n"/>
      <c r="N57" s="39" t="n"/>
      <c r="O57" s="9" t="n"/>
      <c r="P57" s="33">
        <f>IF(AND(C57&gt;0,N57&gt;0),PMT(N57/12,O57*12,-C57*(1-M57)),"")</f>
        <v/>
      </c>
      <c r="Q57" s="9" t="n"/>
    </row>
    <row r="58">
      <c r="A58" s="11" t="n"/>
      <c r="B58" s="36" t="n"/>
      <c r="C58" s="36" t="n"/>
      <c r="D58" s="11" t="n"/>
      <c r="E58" s="36" t="n"/>
      <c r="F58" s="36" t="n"/>
      <c r="G58" s="36" t="n"/>
      <c r="H58" s="38" t="n"/>
      <c r="I58" s="41">
        <f>IF(C58&gt;0,E58*12/C58,"")</f>
        <v/>
      </c>
      <c r="J58" s="41">
        <f>IF(C58&gt;0,(E58*12*(1-H58)-F58*12-G58)/C58,"")</f>
        <v/>
      </c>
      <c r="K58" s="36">
        <f>IF(C58&gt;0,C58*1.07+MIN(C58*0.01,30000),"")</f>
        <v/>
      </c>
      <c r="L58" s="42">
        <f>IF(E58&gt;0,C58/(E58*12),"")</f>
        <v/>
      </c>
      <c r="M58" s="38" t="n"/>
      <c r="N58" s="41" t="n"/>
      <c r="O58" s="11" t="n"/>
      <c r="P58" s="36">
        <f>IF(AND(C58&gt;0,N58&gt;0),PMT(N58/12,O58*12,-C58*(1-M58)),"")</f>
        <v/>
      </c>
      <c r="Q58" s="11" t="n"/>
    </row>
    <row r="59">
      <c r="A59" s="9" t="n"/>
      <c r="B59" s="33" t="n"/>
      <c r="C59" s="33" t="n"/>
      <c r="D59" s="9" t="n"/>
      <c r="E59" s="33" t="n"/>
      <c r="F59" s="33" t="n"/>
      <c r="G59" s="33" t="n"/>
      <c r="H59" s="35" t="n"/>
      <c r="I59" s="39">
        <f>IF(C59&gt;0,E59*12/C59,"")</f>
        <v/>
      </c>
      <c r="J59" s="39">
        <f>IF(C59&gt;0,(E59*12*(1-H59)-F59*12-G59)/C59,"")</f>
        <v/>
      </c>
      <c r="K59" s="33">
        <f>IF(C59&gt;0,C59*1.07+MIN(C59*0.01,30000),"")</f>
        <v/>
      </c>
      <c r="L59" s="40">
        <f>IF(E59&gt;0,C59/(E59*12),"")</f>
        <v/>
      </c>
      <c r="M59" s="35" t="n"/>
      <c r="N59" s="39" t="n"/>
      <c r="O59" s="9" t="n"/>
      <c r="P59" s="33">
        <f>IF(AND(C59&gt;0,N59&gt;0),PMT(N59/12,O59*12,-C59*(1-M59)),"")</f>
        <v/>
      </c>
      <c r="Q59" s="9" t="n"/>
    </row>
    <row r="60">
      <c r="A60" s="11" t="n"/>
      <c r="B60" s="36" t="n"/>
      <c r="C60" s="36" t="n"/>
      <c r="D60" s="11" t="n"/>
      <c r="E60" s="36" t="n"/>
      <c r="F60" s="36" t="n"/>
      <c r="G60" s="36" t="n"/>
      <c r="H60" s="38" t="n"/>
      <c r="I60" s="41">
        <f>IF(C60&gt;0,E60*12/C60,"")</f>
        <v/>
      </c>
      <c r="J60" s="41">
        <f>IF(C60&gt;0,(E60*12*(1-H60)-F60*12-G60)/C60,"")</f>
        <v/>
      </c>
      <c r="K60" s="36">
        <f>IF(C60&gt;0,C60*1.07+MIN(C60*0.01,30000),"")</f>
        <v/>
      </c>
      <c r="L60" s="42">
        <f>IF(E60&gt;0,C60/(E60*12),"")</f>
        <v/>
      </c>
      <c r="M60" s="38" t="n"/>
      <c r="N60" s="41" t="n"/>
      <c r="O60" s="11" t="n"/>
      <c r="P60" s="36">
        <f>IF(AND(C60&gt;0,N60&gt;0),PMT(N60/12,O60*12,-C60*(1-M60)),"")</f>
        <v/>
      </c>
      <c r="Q60" s="11" t="n"/>
    </row>
    <row r="61">
      <c r="A61" s="9" t="n"/>
      <c r="B61" s="33" t="n"/>
      <c r="C61" s="33" t="n"/>
      <c r="D61" s="9" t="n"/>
      <c r="E61" s="33" t="n"/>
      <c r="F61" s="33" t="n"/>
      <c r="G61" s="33" t="n"/>
      <c r="H61" s="35" t="n"/>
      <c r="I61" s="39">
        <f>IF(C61&gt;0,E61*12/C61,"")</f>
        <v/>
      </c>
      <c r="J61" s="39">
        <f>IF(C61&gt;0,(E61*12*(1-H61)-F61*12-G61)/C61,"")</f>
        <v/>
      </c>
      <c r="K61" s="33">
        <f>IF(C61&gt;0,C61*1.07+MIN(C61*0.01,30000),"")</f>
        <v/>
      </c>
      <c r="L61" s="40">
        <f>IF(E61&gt;0,C61/(E61*12),"")</f>
        <v/>
      </c>
      <c r="M61" s="35" t="n"/>
      <c r="N61" s="39" t="n"/>
      <c r="O61" s="9" t="n"/>
      <c r="P61" s="33">
        <f>IF(AND(C61&gt;0,N61&gt;0),PMT(N61/12,O61*12,-C61*(1-M61)),"")</f>
        <v/>
      </c>
      <c r="Q61" s="9" t="n"/>
    </row>
    <row r="62">
      <c r="A62" s="11" t="n"/>
      <c r="B62" s="36" t="n"/>
      <c r="C62" s="36" t="n"/>
      <c r="D62" s="11" t="n"/>
      <c r="E62" s="36" t="n"/>
      <c r="F62" s="36" t="n"/>
      <c r="G62" s="36" t="n"/>
      <c r="H62" s="38" t="n"/>
      <c r="I62" s="41">
        <f>IF(C62&gt;0,E62*12/C62,"")</f>
        <v/>
      </c>
      <c r="J62" s="41">
        <f>IF(C62&gt;0,(E62*12*(1-H62)-F62*12-G62)/C62,"")</f>
        <v/>
      </c>
      <c r="K62" s="36">
        <f>IF(C62&gt;0,C62*1.07+MIN(C62*0.01,30000),"")</f>
        <v/>
      </c>
      <c r="L62" s="42">
        <f>IF(E62&gt;0,C62/(E62*12),"")</f>
        <v/>
      </c>
      <c r="M62" s="38" t="n"/>
      <c r="N62" s="41" t="n"/>
      <c r="O62" s="11" t="n"/>
      <c r="P62" s="36">
        <f>IF(AND(C62&gt;0,N62&gt;0),PMT(N62/12,O62*12,-C62*(1-M62)),"")</f>
        <v/>
      </c>
      <c r="Q62" s="11" t="n"/>
    </row>
    <row r="63">
      <c r="A63" s="9" t="n"/>
      <c r="B63" s="33" t="n"/>
      <c r="C63" s="33" t="n"/>
      <c r="D63" s="9" t="n"/>
      <c r="E63" s="33" t="n"/>
      <c r="F63" s="33" t="n"/>
      <c r="G63" s="33" t="n"/>
      <c r="H63" s="35" t="n"/>
      <c r="I63" s="39">
        <f>IF(C63&gt;0,E63*12/C63,"")</f>
        <v/>
      </c>
      <c r="J63" s="39">
        <f>IF(C63&gt;0,(E63*12*(1-H63)-F63*12-G63)/C63,"")</f>
        <v/>
      </c>
      <c r="K63" s="33">
        <f>IF(C63&gt;0,C63*1.07+MIN(C63*0.01,30000),"")</f>
        <v/>
      </c>
      <c r="L63" s="40">
        <f>IF(E63&gt;0,C63/(E63*12),"")</f>
        <v/>
      </c>
      <c r="M63" s="35" t="n"/>
      <c r="N63" s="39" t="n"/>
      <c r="O63" s="9" t="n"/>
      <c r="P63" s="33">
        <f>IF(AND(C63&gt;0,N63&gt;0),PMT(N63/12,O63*12,-C63*(1-M63)),"")</f>
        <v/>
      </c>
      <c r="Q63" s="9" t="n"/>
    </row>
    <row r="64">
      <c r="A64" s="11" t="n"/>
      <c r="B64" s="36" t="n"/>
      <c r="C64" s="36" t="n"/>
      <c r="D64" s="11" t="n"/>
      <c r="E64" s="36" t="n"/>
      <c r="F64" s="36" t="n"/>
      <c r="G64" s="36" t="n"/>
      <c r="H64" s="38" t="n"/>
      <c r="I64" s="41">
        <f>IF(C64&gt;0,E64*12/C64,"")</f>
        <v/>
      </c>
      <c r="J64" s="41">
        <f>IF(C64&gt;0,(E64*12*(1-H64)-F64*12-G64)/C64,"")</f>
        <v/>
      </c>
      <c r="K64" s="36">
        <f>IF(C64&gt;0,C64*1.07+MIN(C64*0.01,30000),"")</f>
        <v/>
      </c>
      <c r="L64" s="42">
        <f>IF(E64&gt;0,C64/(E64*12),"")</f>
        <v/>
      </c>
      <c r="M64" s="38" t="n"/>
      <c r="N64" s="41" t="n"/>
      <c r="O64" s="11" t="n"/>
      <c r="P64" s="36">
        <f>IF(AND(C64&gt;0,N64&gt;0),PMT(N64/12,O64*12,-C64*(1-M64)),"")</f>
        <v/>
      </c>
      <c r="Q64" s="11" t="n"/>
    </row>
    <row r="65">
      <c r="A65" s="9" t="n"/>
      <c r="B65" s="33" t="n"/>
      <c r="C65" s="33" t="n"/>
      <c r="D65" s="9" t="n"/>
      <c r="E65" s="33" t="n"/>
      <c r="F65" s="33" t="n"/>
      <c r="G65" s="33" t="n"/>
      <c r="H65" s="35" t="n"/>
      <c r="I65" s="39">
        <f>IF(C65&gt;0,E65*12/C65,"")</f>
        <v/>
      </c>
      <c r="J65" s="39">
        <f>IF(C65&gt;0,(E65*12*(1-H65)-F65*12-G65)/C65,"")</f>
        <v/>
      </c>
      <c r="K65" s="33">
        <f>IF(C65&gt;0,C65*1.07+MIN(C65*0.01,30000),"")</f>
        <v/>
      </c>
      <c r="L65" s="40">
        <f>IF(E65&gt;0,C65/(E65*12),"")</f>
        <v/>
      </c>
      <c r="M65" s="35" t="n"/>
      <c r="N65" s="39" t="n"/>
      <c r="O65" s="9" t="n"/>
      <c r="P65" s="33">
        <f>IF(AND(C65&gt;0,N65&gt;0),PMT(N65/12,O65*12,-C65*(1-M65)),"")</f>
        <v/>
      </c>
      <c r="Q65" s="9" t="n"/>
    </row>
    <row r="66">
      <c r="A66" s="11" t="n"/>
      <c r="B66" s="36" t="n"/>
      <c r="C66" s="36" t="n"/>
      <c r="D66" s="11" t="n"/>
      <c r="E66" s="36" t="n"/>
      <c r="F66" s="36" t="n"/>
      <c r="G66" s="36" t="n"/>
      <c r="H66" s="38" t="n"/>
      <c r="I66" s="41">
        <f>IF(C66&gt;0,E66*12/C66,"")</f>
        <v/>
      </c>
      <c r="J66" s="41">
        <f>IF(C66&gt;0,(E66*12*(1-H66)-F66*12-G66)/C66,"")</f>
        <v/>
      </c>
      <c r="K66" s="36">
        <f>IF(C66&gt;0,C66*1.07+MIN(C66*0.01,30000),"")</f>
        <v/>
      </c>
      <c r="L66" s="42">
        <f>IF(E66&gt;0,C66/(E66*12),"")</f>
        <v/>
      </c>
      <c r="M66" s="38" t="n"/>
      <c r="N66" s="41" t="n"/>
      <c r="O66" s="11" t="n"/>
      <c r="P66" s="36">
        <f>IF(AND(C66&gt;0,N66&gt;0),PMT(N66/12,O66*12,-C66*(1-M66)),"")</f>
        <v/>
      </c>
      <c r="Q66" s="11" t="n"/>
    </row>
    <row r="67">
      <c r="A67" s="9" t="n"/>
      <c r="B67" s="33" t="n"/>
      <c r="C67" s="33" t="n"/>
      <c r="D67" s="9" t="n"/>
      <c r="E67" s="33" t="n"/>
      <c r="F67" s="33" t="n"/>
      <c r="G67" s="33" t="n"/>
      <c r="H67" s="35" t="n"/>
      <c r="I67" s="39">
        <f>IF(C67&gt;0,E67*12/C67,"")</f>
        <v/>
      </c>
      <c r="J67" s="39">
        <f>IF(C67&gt;0,(E67*12*(1-H67)-F67*12-G67)/C67,"")</f>
        <v/>
      </c>
      <c r="K67" s="33">
        <f>IF(C67&gt;0,C67*1.07+MIN(C67*0.01,30000),"")</f>
        <v/>
      </c>
      <c r="L67" s="40">
        <f>IF(E67&gt;0,C67/(E67*12),"")</f>
        <v/>
      </c>
      <c r="M67" s="35" t="n"/>
      <c r="N67" s="39" t="n"/>
      <c r="O67" s="9" t="n"/>
      <c r="P67" s="33">
        <f>IF(AND(C67&gt;0,N67&gt;0),PMT(N67/12,O67*12,-C67*(1-M67)),"")</f>
        <v/>
      </c>
      <c r="Q67" s="9" t="n"/>
    </row>
    <row r="68">
      <c r="A68" s="11" t="n"/>
      <c r="B68" s="36" t="n"/>
      <c r="C68" s="36" t="n"/>
      <c r="D68" s="11" t="n"/>
      <c r="E68" s="36" t="n"/>
      <c r="F68" s="36" t="n"/>
      <c r="G68" s="36" t="n"/>
      <c r="H68" s="38" t="n"/>
      <c r="I68" s="41">
        <f>IF(C68&gt;0,E68*12/C68,"")</f>
        <v/>
      </c>
      <c r="J68" s="41">
        <f>IF(C68&gt;0,(E68*12*(1-H68)-F68*12-G68)/C68,"")</f>
        <v/>
      </c>
      <c r="K68" s="36">
        <f>IF(C68&gt;0,C68*1.07+MIN(C68*0.01,30000),"")</f>
        <v/>
      </c>
      <c r="L68" s="42">
        <f>IF(E68&gt;0,C68/(E68*12),"")</f>
        <v/>
      </c>
      <c r="M68" s="38" t="n"/>
      <c r="N68" s="41" t="n"/>
      <c r="O68" s="11" t="n"/>
      <c r="P68" s="36">
        <f>IF(AND(C68&gt;0,N68&gt;0),PMT(N68/12,O68*12,-C68*(1-M68)),"")</f>
        <v/>
      </c>
      <c r="Q68" s="11" t="n"/>
    </row>
    <row r="69">
      <c r="A69" s="9" t="n"/>
      <c r="B69" s="33" t="n"/>
      <c r="C69" s="33" t="n"/>
      <c r="D69" s="9" t="n"/>
      <c r="E69" s="33" t="n"/>
      <c r="F69" s="33" t="n"/>
      <c r="G69" s="33" t="n"/>
      <c r="H69" s="35" t="n"/>
      <c r="I69" s="39">
        <f>IF(C69&gt;0,E69*12/C69,"")</f>
        <v/>
      </c>
      <c r="J69" s="39">
        <f>IF(C69&gt;0,(E69*12*(1-H69)-F69*12-G69)/C69,"")</f>
        <v/>
      </c>
      <c r="K69" s="33">
        <f>IF(C69&gt;0,C69*1.07+MIN(C69*0.01,30000),"")</f>
        <v/>
      </c>
      <c r="L69" s="40">
        <f>IF(E69&gt;0,C69/(E69*12),"")</f>
        <v/>
      </c>
      <c r="M69" s="35" t="n"/>
      <c r="N69" s="39" t="n"/>
      <c r="O69" s="9" t="n"/>
      <c r="P69" s="33">
        <f>IF(AND(C69&gt;0,N69&gt;0),PMT(N69/12,O69*12,-C69*(1-M69)),"")</f>
        <v/>
      </c>
      <c r="Q69" s="9" t="n"/>
    </row>
    <row r="70">
      <c r="A70" s="11" t="n"/>
      <c r="B70" s="36" t="n"/>
      <c r="C70" s="36" t="n"/>
      <c r="D70" s="11" t="n"/>
      <c r="E70" s="36" t="n"/>
      <c r="F70" s="36" t="n"/>
      <c r="G70" s="36" t="n"/>
      <c r="H70" s="38" t="n"/>
      <c r="I70" s="41">
        <f>IF(C70&gt;0,E70*12/C70,"")</f>
        <v/>
      </c>
      <c r="J70" s="41">
        <f>IF(C70&gt;0,(E70*12*(1-H70)-F70*12-G70)/C70,"")</f>
        <v/>
      </c>
      <c r="K70" s="36">
        <f>IF(C70&gt;0,C70*1.07+MIN(C70*0.01,30000),"")</f>
        <v/>
      </c>
      <c r="L70" s="42">
        <f>IF(E70&gt;0,C70/(E70*12),"")</f>
        <v/>
      </c>
      <c r="M70" s="38" t="n"/>
      <c r="N70" s="41" t="n"/>
      <c r="O70" s="11" t="n"/>
      <c r="P70" s="36">
        <f>IF(AND(C70&gt;0,N70&gt;0),PMT(N70/12,O70*12,-C70*(1-M70)),"")</f>
        <v/>
      </c>
      <c r="Q70" s="11" t="n"/>
    </row>
    <row r="71">
      <c r="A71" s="9" t="n"/>
      <c r="B71" s="33" t="n"/>
      <c r="C71" s="33" t="n"/>
      <c r="D71" s="9" t="n"/>
      <c r="E71" s="33" t="n"/>
      <c r="F71" s="33" t="n"/>
      <c r="G71" s="33" t="n"/>
      <c r="H71" s="35" t="n"/>
      <c r="I71" s="39">
        <f>IF(C71&gt;0,E71*12/C71,"")</f>
        <v/>
      </c>
      <c r="J71" s="39">
        <f>IF(C71&gt;0,(E71*12*(1-H71)-F71*12-G71)/C71,"")</f>
        <v/>
      </c>
      <c r="K71" s="33">
        <f>IF(C71&gt;0,C71*1.07+MIN(C71*0.01,30000),"")</f>
        <v/>
      </c>
      <c r="L71" s="40">
        <f>IF(E71&gt;0,C71/(E71*12),"")</f>
        <v/>
      </c>
      <c r="M71" s="35" t="n"/>
      <c r="N71" s="39" t="n"/>
      <c r="O71" s="9" t="n"/>
      <c r="P71" s="33">
        <f>IF(AND(C71&gt;0,N71&gt;0),PMT(N71/12,O71*12,-C71*(1-M71)),"")</f>
        <v/>
      </c>
      <c r="Q71" s="9" t="n"/>
    </row>
    <row r="72">
      <c r="A72" s="11" t="n"/>
      <c r="B72" s="36" t="n"/>
      <c r="C72" s="36" t="n"/>
      <c r="D72" s="11" t="n"/>
      <c r="E72" s="36" t="n"/>
      <c r="F72" s="36" t="n"/>
      <c r="G72" s="36" t="n"/>
      <c r="H72" s="38" t="n"/>
      <c r="I72" s="41">
        <f>IF(C72&gt;0,E72*12/C72,"")</f>
        <v/>
      </c>
      <c r="J72" s="41">
        <f>IF(C72&gt;0,(E72*12*(1-H72)-F72*12-G72)/C72,"")</f>
        <v/>
      </c>
      <c r="K72" s="36">
        <f>IF(C72&gt;0,C72*1.07+MIN(C72*0.01,30000),"")</f>
        <v/>
      </c>
      <c r="L72" s="42">
        <f>IF(E72&gt;0,C72/(E72*12),"")</f>
        <v/>
      </c>
      <c r="M72" s="38" t="n"/>
      <c r="N72" s="41" t="n"/>
      <c r="O72" s="11" t="n"/>
      <c r="P72" s="36">
        <f>IF(AND(C72&gt;0,N72&gt;0),PMT(N72/12,O72*12,-C72*(1-M72)),"")</f>
        <v/>
      </c>
      <c r="Q72" s="11" t="n"/>
    </row>
    <row r="73">
      <c r="A73" s="9" t="n"/>
      <c r="B73" s="33" t="n"/>
      <c r="C73" s="33" t="n"/>
      <c r="D73" s="9" t="n"/>
      <c r="E73" s="33" t="n"/>
      <c r="F73" s="33" t="n"/>
      <c r="G73" s="33" t="n"/>
      <c r="H73" s="35" t="n"/>
      <c r="I73" s="39">
        <f>IF(C73&gt;0,E73*12/C73,"")</f>
        <v/>
      </c>
      <c r="J73" s="39">
        <f>IF(C73&gt;0,(E73*12*(1-H73)-F73*12-G73)/C73,"")</f>
        <v/>
      </c>
      <c r="K73" s="33">
        <f>IF(C73&gt;0,C73*1.07+MIN(C73*0.01,30000),"")</f>
        <v/>
      </c>
      <c r="L73" s="40">
        <f>IF(E73&gt;0,C73/(E73*12),"")</f>
        <v/>
      </c>
      <c r="M73" s="35" t="n"/>
      <c r="N73" s="39" t="n"/>
      <c r="O73" s="9" t="n"/>
      <c r="P73" s="33">
        <f>IF(AND(C73&gt;0,N73&gt;0),PMT(N73/12,O73*12,-C73*(1-M73)),"")</f>
        <v/>
      </c>
      <c r="Q73" s="9" t="n"/>
    </row>
    <row r="74">
      <c r="A74" s="11" t="n"/>
      <c r="B74" s="36" t="n"/>
      <c r="C74" s="36" t="n"/>
      <c r="D74" s="11" t="n"/>
      <c r="E74" s="36" t="n"/>
      <c r="F74" s="36" t="n"/>
      <c r="G74" s="36" t="n"/>
      <c r="H74" s="38" t="n"/>
      <c r="I74" s="41">
        <f>IF(C74&gt;0,E74*12/C74,"")</f>
        <v/>
      </c>
      <c r="J74" s="41">
        <f>IF(C74&gt;0,(E74*12*(1-H74)-F74*12-G74)/C74,"")</f>
        <v/>
      </c>
      <c r="K74" s="36">
        <f>IF(C74&gt;0,C74*1.07+MIN(C74*0.01,30000),"")</f>
        <v/>
      </c>
      <c r="L74" s="42">
        <f>IF(E74&gt;0,C74/(E74*12),"")</f>
        <v/>
      </c>
      <c r="M74" s="38" t="n"/>
      <c r="N74" s="41" t="n"/>
      <c r="O74" s="11" t="n"/>
      <c r="P74" s="36">
        <f>IF(AND(C74&gt;0,N74&gt;0),PMT(N74/12,O74*12,-C74*(1-M74)),"")</f>
        <v/>
      </c>
      <c r="Q74" s="11" t="n"/>
    </row>
    <row r="75">
      <c r="A75" s="9" t="n"/>
      <c r="B75" s="33" t="n"/>
      <c r="C75" s="33" t="n"/>
      <c r="D75" s="9" t="n"/>
      <c r="E75" s="33" t="n"/>
      <c r="F75" s="33" t="n"/>
      <c r="G75" s="33" t="n"/>
      <c r="H75" s="35" t="n"/>
      <c r="I75" s="39">
        <f>IF(C75&gt;0,E75*12/C75,"")</f>
        <v/>
      </c>
      <c r="J75" s="39">
        <f>IF(C75&gt;0,(E75*12*(1-H75)-F75*12-G75)/C75,"")</f>
        <v/>
      </c>
      <c r="K75" s="33">
        <f>IF(C75&gt;0,C75*1.07+MIN(C75*0.01,30000),"")</f>
        <v/>
      </c>
      <c r="L75" s="40">
        <f>IF(E75&gt;0,C75/(E75*12),"")</f>
        <v/>
      </c>
      <c r="M75" s="35" t="n"/>
      <c r="N75" s="39" t="n"/>
      <c r="O75" s="9" t="n"/>
      <c r="P75" s="33">
        <f>IF(AND(C75&gt;0,N75&gt;0),PMT(N75/12,O75*12,-C75*(1-M75)),"")</f>
        <v/>
      </c>
      <c r="Q75" s="9" t="n"/>
    </row>
    <row r="76">
      <c r="A76" s="11" t="n"/>
      <c r="B76" s="36" t="n"/>
      <c r="C76" s="36" t="n"/>
      <c r="D76" s="11" t="n"/>
      <c r="E76" s="36" t="n"/>
      <c r="F76" s="36" t="n"/>
      <c r="G76" s="36" t="n"/>
      <c r="H76" s="38" t="n"/>
      <c r="I76" s="41">
        <f>IF(C76&gt;0,E76*12/C76,"")</f>
        <v/>
      </c>
      <c r="J76" s="41">
        <f>IF(C76&gt;0,(E76*12*(1-H76)-F76*12-G76)/C76,"")</f>
        <v/>
      </c>
      <c r="K76" s="36">
        <f>IF(C76&gt;0,C76*1.07+MIN(C76*0.01,30000),"")</f>
        <v/>
      </c>
      <c r="L76" s="42">
        <f>IF(E76&gt;0,C76/(E76*12),"")</f>
        <v/>
      </c>
      <c r="M76" s="38" t="n"/>
      <c r="N76" s="41" t="n"/>
      <c r="O76" s="11" t="n"/>
      <c r="P76" s="36">
        <f>IF(AND(C76&gt;0,N76&gt;0),PMT(N76/12,O76*12,-C76*(1-M76)),"")</f>
        <v/>
      </c>
      <c r="Q76" s="11" t="n"/>
    </row>
    <row r="77">
      <c r="A77" s="9" t="n"/>
      <c r="B77" s="33" t="n"/>
      <c r="C77" s="33" t="n"/>
      <c r="D77" s="9" t="n"/>
      <c r="E77" s="33" t="n"/>
      <c r="F77" s="33" t="n"/>
      <c r="G77" s="33" t="n"/>
      <c r="H77" s="35" t="n"/>
      <c r="I77" s="39">
        <f>IF(C77&gt;0,E77*12/C77,"")</f>
        <v/>
      </c>
      <c r="J77" s="39">
        <f>IF(C77&gt;0,(E77*12*(1-H77)-F77*12-G77)/C77,"")</f>
        <v/>
      </c>
      <c r="K77" s="33">
        <f>IF(C77&gt;0,C77*1.07+MIN(C77*0.01,30000),"")</f>
        <v/>
      </c>
      <c r="L77" s="40">
        <f>IF(E77&gt;0,C77/(E77*12),"")</f>
        <v/>
      </c>
      <c r="M77" s="35" t="n"/>
      <c r="N77" s="39" t="n"/>
      <c r="O77" s="9" t="n"/>
      <c r="P77" s="33">
        <f>IF(AND(C77&gt;0,N77&gt;0),PMT(N77/12,O77*12,-C77*(1-M77)),"")</f>
        <v/>
      </c>
      <c r="Q77" s="9" t="n"/>
    </row>
    <row r="78">
      <c r="A78" s="11" t="n"/>
      <c r="B78" s="36" t="n"/>
      <c r="C78" s="36" t="n"/>
      <c r="D78" s="11" t="n"/>
      <c r="E78" s="36" t="n"/>
      <c r="F78" s="36" t="n"/>
      <c r="G78" s="36" t="n"/>
      <c r="H78" s="38" t="n"/>
      <c r="I78" s="41">
        <f>IF(C78&gt;0,E78*12/C78,"")</f>
        <v/>
      </c>
      <c r="J78" s="41">
        <f>IF(C78&gt;0,(E78*12*(1-H78)-F78*12-G78)/C78,"")</f>
        <v/>
      </c>
      <c r="K78" s="36">
        <f>IF(C78&gt;0,C78*1.07+MIN(C78*0.01,30000),"")</f>
        <v/>
      </c>
      <c r="L78" s="42">
        <f>IF(E78&gt;0,C78/(E78*12),"")</f>
        <v/>
      </c>
      <c r="M78" s="38" t="n"/>
      <c r="N78" s="41" t="n"/>
      <c r="O78" s="11" t="n"/>
      <c r="P78" s="36">
        <f>IF(AND(C78&gt;0,N78&gt;0),PMT(N78/12,O78*12,-C78*(1-M78)),"")</f>
        <v/>
      </c>
      <c r="Q78" s="11" t="n"/>
    </row>
    <row r="79">
      <c r="A79" s="9" t="n"/>
      <c r="B79" s="33" t="n"/>
      <c r="C79" s="33" t="n"/>
      <c r="D79" s="9" t="n"/>
      <c r="E79" s="33" t="n"/>
      <c r="F79" s="33" t="n"/>
      <c r="G79" s="33" t="n"/>
      <c r="H79" s="35" t="n"/>
      <c r="I79" s="39">
        <f>IF(C79&gt;0,E79*12/C79,"")</f>
        <v/>
      </c>
      <c r="J79" s="39">
        <f>IF(C79&gt;0,(E79*12*(1-H79)-F79*12-G79)/C79,"")</f>
        <v/>
      </c>
      <c r="K79" s="33">
        <f>IF(C79&gt;0,C79*1.07+MIN(C79*0.01,30000),"")</f>
        <v/>
      </c>
      <c r="L79" s="40">
        <f>IF(E79&gt;0,C79/(E79*12),"")</f>
        <v/>
      </c>
      <c r="M79" s="35" t="n"/>
      <c r="N79" s="39" t="n"/>
      <c r="O79" s="9" t="n"/>
      <c r="P79" s="33">
        <f>IF(AND(C79&gt;0,N79&gt;0),PMT(N79/12,O79*12,-C79*(1-M79)),"")</f>
        <v/>
      </c>
      <c r="Q79" s="9" t="n"/>
    </row>
    <row r="80">
      <c r="A80" s="11" t="n"/>
      <c r="B80" s="36" t="n"/>
      <c r="C80" s="36" t="n"/>
      <c r="D80" s="11" t="n"/>
      <c r="E80" s="36" t="n"/>
      <c r="F80" s="36" t="n"/>
      <c r="G80" s="36" t="n"/>
      <c r="H80" s="38" t="n"/>
      <c r="I80" s="41">
        <f>IF(C80&gt;0,E80*12/C80,"")</f>
        <v/>
      </c>
      <c r="J80" s="41">
        <f>IF(C80&gt;0,(E80*12*(1-H80)-F80*12-G80)/C80,"")</f>
        <v/>
      </c>
      <c r="K80" s="36">
        <f>IF(C80&gt;0,C80*1.07+MIN(C80*0.01,30000),"")</f>
        <v/>
      </c>
      <c r="L80" s="42">
        <f>IF(E80&gt;0,C80/(E80*12),"")</f>
        <v/>
      </c>
      <c r="M80" s="38" t="n"/>
      <c r="N80" s="41" t="n"/>
      <c r="O80" s="11" t="n"/>
      <c r="P80" s="36">
        <f>IF(AND(C80&gt;0,N80&gt;0),PMT(N80/12,O80*12,-C80*(1-M80)),"")</f>
        <v/>
      </c>
      <c r="Q80" s="11" t="n"/>
    </row>
    <row r="81">
      <c r="A81" s="9" t="n"/>
      <c r="B81" s="33" t="n"/>
      <c r="C81" s="33" t="n"/>
      <c r="D81" s="9" t="n"/>
      <c r="E81" s="33" t="n"/>
      <c r="F81" s="33" t="n"/>
      <c r="G81" s="33" t="n"/>
      <c r="H81" s="35" t="n"/>
      <c r="I81" s="39">
        <f>IF(C81&gt;0,E81*12/C81,"")</f>
        <v/>
      </c>
      <c r="J81" s="39">
        <f>IF(C81&gt;0,(E81*12*(1-H81)-F81*12-G81)/C81,"")</f>
        <v/>
      </c>
      <c r="K81" s="33">
        <f>IF(C81&gt;0,C81*1.07+MIN(C81*0.01,30000),"")</f>
        <v/>
      </c>
      <c r="L81" s="40">
        <f>IF(E81&gt;0,C81/(E81*12),"")</f>
        <v/>
      </c>
      <c r="M81" s="35" t="n"/>
      <c r="N81" s="39" t="n"/>
      <c r="O81" s="9" t="n"/>
      <c r="P81" s="33">
        <f>IF(AND(C81&gt;0,N81&gt;0),PMT(N81/12,O81*12,-C81*(1-M81)),"")</f>
        <v/>
      </c>
      <c r="Q81" s="9" t="n"/>
    </row>
    <row r="82">
      <c r="A82" s="11" t="n"/>
      <c r="B82" s="36" t="n"/>
      <c r="C82" s="36" t="n"/>
      <c r="D82" s="11" t="n"/>
      <c r="E82" s="36" t="n"/>
      <c r="F82" s="36" t="n"/>
      <c r="G82" s="36" t="n"/>
      <c r="H82" s="38" t="n"/>
      <c r="I82" s="41">
        <f>IF(C82&gt;0,E82*12/C82,"")</f>
        <v/>
      </c>
      <c r="J82" s="41">
        <f>IF(C82&gt;0,(E82*12*(1-H82)-F82*12-G82)/C82,"")</f>
        <v/>
      </c>
      <c r="K82" s="36">
        <f>IF(C82&gt;0,C82*1.07+MIN(C82*0.01,30000),"")</f>
        <v/>
      </c>
      <c r="L82" s="42">
        <f>IF(E82&gt;0,C82/(E82*12),"")</f>
        <v/>
      </c>
      <c r="M82" s="38" t="n"/>
      <c r="N82" s="41" t="n"/>
      <c r="O82" s="11" t="n"/>
      <c r="P82" s="36">
        <f>IF(AND(C82&gt;0,N82&gt;0),PMT(N82/12,O82*12,-C82*(1-M82)),"")</f>
        <v/>
      </c>
      <c r="Q82" s="11" t="n"/>
    </row>
    <row r="83">
      <c r="A83" s="9" t="n"/>
      <c r="B83" s="33" t="n"/>
      <c r="C83" s="33" t="n"/>
      <c r="D83" s="9" t="n"/>
      <c r="E83" s="33" t="n"/>
      <c r="F83" s="33" t="n"/>
      <c r="G83" s="33" t="n"/>
      <c r="H83" s="35" t="n"/>
      <c r="I83" s="39">
        <f>IF(C83&gt;0,E83*12/C83,"")</f>
        <v/>
      </c>
      <c r="J83" s="39">
        <f>IF(C83&gt;0,(E83*12*(1-H83)-F83*12-G83)/C83,"")</f>
        <v/>
      </c>
      <c r="K83" s="33">
        <f>IF(C83&gt;0,C83*1.07+MIN(C83*0.01,30000),"")</f>
        <v/>
      </c>
      <c r="L83" s="40">
        <f>IF(E83&gt;0,C83/(E83*12),"")</f>
        <v/>
      </c>
      <c r="M83" s="35" t="n"/>
      <c r="N83" s="39" t="n"/>
      <c r="O83" s="9" t="n"/>
      <c r="P83" s="33">
        <f>IF(AND(C83&gt;0,N83&gt;0),PMT(N83/12,O83*12,-C83*(1-M83)),"")</f>
        <v/>
      </c>
      <c r="Q83" s="9" t="n"/>
    </row>
    <row r="84">
      <c r="A84" s="11" t="n"/>
      <c r="B84" s="36" t="n"/>
      <c r="C84" s="36" t="n"/>
      <c r="D84" s="11" t="n"/>
      <c r="E84" s="36" t="n"/>
      <c r="F84" s="36" t="n"/>
      <c r="G84" s="36" t="n"/>
      <c r="H84" s="38" t="n"/>
      <c r="I84" s="41">
        <f>IF(C84&gt;0,E84*12/C84,"")</f>
        <v/>
      </c>
      <c r="J84" s="41">
        <f>IF(C84&gt;0,(E84*12*(1-H84)-F84*12-G84)/C84,"")</f>
        <v/>
      </c>
      <c r="K84" s="36">
        <f>IF(C84&gt;0,C84*1.07+MIN(C84*0.01,30000),"")</f>
        <v/>
      </c>
      <c r="L84" s="42">
        <f>IF(E84&gt;0,C84/(E84*12),"")</f>
        <v/>
      </c>
      <c r="M84" s="38" t="n"/>
      <c r="N84" s="41" t="n"/>
      <c r="O84" s="11" t="n"/>
      <c r="P84" s="36">
        <f>IF(AND(C84&gt;0,N84&gt;0),PMT(N84/12,O84*12,-C84*(1-M84)),"")</f>
        <v/>
      </c>
      <c r="Q84" s="11" t="n"/>
    </row>
    <row r="85">
      <c r="A85" s="9" t="n"/>
      <c r="B85" s="33" t="n"/>
      <c r="C85" s="33" t="n"/>
      <c r="D85" s="9" t="n"/>
      <c r="E85" s="33" t="n"/>
      <c r="F85" s="33" t="n"/>
      <c r="G85" s="33" t="n"/>
      <c r="H85" s="35" t="n"/>
      <c r="I85" s="39">
        <f>IF(C85&gt;0,E85*12/C85,"")</f>
        <v/>
      </c>
      <c r="J85" s="39">
        <f>IF(C85&gt;0,(E85*12*(1-H85)-F85*12-G85)/C85,"")</f>
        <v/>
      </c>
      <c r="K85" s="33">
        <f>IF(C85&gt;0,C85*1.07+MIN(C85*0.01,30000),"")</f>
        <v/>
      </c>
      <c r="L85" s="40">
        <f>IF(E85&gt;0,C85/(E85*12),"")</f>
        <v/>
      </c>
      <c r="M85" s="35" t="n"/>
      <c r="N85" s="39" t="n"/>
      <c r="O85" s="9" t="n"/>
      <c r="P85" s="33">
        <f>IF(AND(C85&gt;0,N85&gt;0),PMT(N85/12,O85*12,-C85*(1-M85)),"")</f>
        <v/>
      </c>
      <c r="Q85" s="9" t="n"/>
    </row>
    <row r="86">
      <c r="A86" s="11" t="n"/>
      <c r="B86" s="36" t="n"/>
      <c r="C86" s="36" t="n"/>
      <c r="D86" s="11" t="n"/>
      <c r="E86" s="36" t="n"/>
      <c r="F86" s="36" t="n"/>
      <c r="G86" s="36" t="n"/>
      <c r="H86" s="38" t="n"/>
      <c r="I86" s="41">
        <f>IF(C86&gt;0,E86*12/C86,"")</f>
        <v/>
      </c>
      <c r="J86" s="41">
        <f>IF(C86&gt;0,(E86*12*(1-H86)-F86*12-G86)/C86,"")</f>
        <v/>
      </c>
      <c r="K86" s="36">
        <f>IF(C86&gt;0,C86*1.07+MIN(C86*0.01,30000),"")</f>
        <v/>
      </c>
      <c r="L86" s="42">
        <f>IF(E86&gt;0,C86/(E86*12),"")</f>
        <v/>
      </c>
      <c r="M86" s="38" t="n"/>
      <c r="N86" s="41" t="n"/>
      <c r="O86" s="11" t="n"/>
      <c r="P86" s="36">
        <f>IF(AND(C86&gt;0,N86&gt;0),PMT(N86/12,O86*12,-C86*(1-M86)),"")</f>
        <v/>
      </c>
      <c r="Q86" s="11" t="n"/>
    </row>
    <row r="87">
      <c r="A87" s="9" t="n"/>
      <c r="B87" s="33" t="n"/>
      <c r="C87" s="33" t="n"/>
      <c r="D87" s="9" t="n"/>
      <c r="E87" s="33" t="n"/>
      <c r="F87" s="33" t="n"/>
      <c r="G87" s="33" t="n"/>
      <c r="H87" s="35" t="n"/>
      <c r="I87" s="39">
        <f>IF(C87&gt;0,E87*12/C87,"")</f>
        <v/>
      </c>
      <c r="J87" s="39">
        <f>IF(C87&gt;0,(E87*12*(1-H87)-F87*12-G87)/C87,"")</f>
        <v/>
      </c>
      <c r="K87" s="33">
        <f>IF(C87&gt;0,C87*1.07+MIN(C87*0.01,30000),"")</f>
        <v/>
      </c>
      <c r="L87" s="40">
        <f>IF(E87&gt;0,C87/(E87*12),"")</f>
        <v/>
      </c>
      <c r="M87" s="35" t="n"/>
      <c r="N87" s="39" t="n"/>
      <c r="O87" s="9" t="n"/>
      <c r="P87" s="33">
        <f>IF(AND(C87&gt;0,N87&gt;0),PMT(N87/12,O87*12,-C87*(1-M87)),"")</f>
        <v/>
      </c>
      <c r="Q87" s="9" t="n"/>
    </row>
    <row r="88">
      <c r="A88" s="11" t="n"/>
      <c r="B88" s="36" t="n"/>
      <c r="C88" s="36" t="n"/>
      <c r="D88" s="11" t="n"/>
      <c r="E88" s="36" t="n"/>
      <c r="F88" s="36" t="n"/>
      <c r="G88" s="36" t="n"/>
      <c r="H88" s="38" t="n"/>
      <c r="I88" s="41">
        <f>IF(C88&gt;0,E88*12/C88,"")</f>
        <v/>
      </c>
      <c r="J88" s="41">
        <f>IF(C88&gt;0,(E88*12*(1-H88)-F88*12-G88)/C88,"")</f>
        <v/>
      </c>
      <c r="K88" s="36">
        <f>IF(C88&gt;0,C88*1.07+MIN(C88*0.01,30000),"")</f>
        <v/>
      </c>
      <c r="L88" s="42">
        <f>IF(E88&gt;0,C88/(E88*12),"")</f>
        <v/>
      </c>
      <c r="M88" s="38" t="n"/>
      <c r="N88" s="41" t="n"/>
      <c r="O88" s="11" t="n"/>
      <c r="P88" s="36">
        <f>IF(AND(C88&gt;0,N88&gt;0),PMT(N88/12,O88*12,-C88*(1-M88)),"")</f>
        <v/>
      </c>
      <c r="Q88" s="11" t="n"/>
    </row>
    <row r="89">
      <c r="A89" s="9" t="n"/>
      <c r="B89" s="33" t="n"/>
      <c r="C89" s="33" t="n"/>
      <c r="D89" s="9" t="n"/>
      <c r="E89" s="33" t="n"/>
      <c r="F89" s="33" t="n"/>
      <c r="G89" s="33" t="n"/>
      <c r="H89" s="35" t="n"/>
      <c r="I89" s="39">
        <f>IF(C89&gt;0,E89*12/C89,"")</f>
        <v/>
      </c>
      <c r="J89" s="39">
        <f>IF(C89&gt;0,(E89*12*(1-H89)-F89*12-G89)/C89,"")</f>
        <v/>
      </c>
      <c r="K89" s="33">
        <f>IF(C89&gt;0,C89*1.07+MIN(C89*0.01,30000),"")</f>
        <v/>
      </c>
      <c r="L89" s="40">
        <f>IF(E89&gt;0,C89/(E89*12),"")</f>
        <v/>
      </c>
      <c r="M89" s="35" t="n"/>
      <c r="N89" s="39" t="n"/>
      <c r="O89" s="9" t="n"/>
      <c r="P89" s="33">
        <f>IF(AND(C89&gt;0,N89&gt;0),PMT(N89/12,O89*12,-C89*(1-M89)),"")</f>
        <v/>
      </c>
      <c r="Q89" s="9" t="n"/>
    </row>
    <row r="90">
      <c r="A90" s="11" t="n"/>
      <c r="B90" s="36" t="n"/>
      <c r="C90" s="36" t="n"/>
      <c r="D90" s="11" t="n"/>
      <c r="E90" s="36" t="n"/>
      <c r="F90" s="36" t="n"/>
      <c r="G90" s="36" t="n"/>
      <c r="H90" s="38" t="n"/>
      <c r="I90" s="41">
        <f>IF(C90&gt;0,E90*12/C90,"")</f>
        <v/>
      </c>
      <c r="J90" s="41">
        <f>IF(C90&gt;0,(E90*12*(1-H90)-F90*12-G90)/C90,"")</f>
        <v/>
      </c>
      <c r="K90" s="36">
        <f>IF(C90&gt;0,C90*1.07+MIN(C90*0.01,30000),"")</f>
        <v/>
      </c>
      <c r="L90" s="42">
        <f>IF(E90&gt;0,C90/(E90*12),"")</f>
        <v/>
      </c>
      <c r="M90" s="38" t="n"/>
      <c r="N90" s="41" t="n"/>
      <c r="O90" s="11" t="n"/>
      <c r="P90" s="36">
        <f>IF(AND(C90&gt;0,N90&gt;0),PMT(N90/12,O90*12,-C90*(1-M90)),"")</f>
        <v/>
      </c>
      <c r="Q90" s="11" t="n"/>
    </row>
    <row r="91">
      <c r="A91" s="9" t="n"/>
      <c r="B91" s="33" t="n"/>
      <c r="C91" s="33" t="n"/>
      <c r="D91" s="9" t="n"/>
      <c r="E91" s="33" t="n"/>
      <c r="F91" s="33" t="n"/>
      <c r="G91" s="33" t="n"/>
      <c r="H91" s="35" t="n"/>
      <c r="I91" s="39">
        <f>IF(C91&gt;0,E91*12/C91,"")</f>
        <v/>
      </c>
      <c r="J91" s="39">
        <f>IF(C91&gt;0,(E91*12*(1-H91)-F91*12-G91)/C91,"")</f>
        <v/>
      </c>
      <c r="K91" s="33">
        <f>IF(C91&gt;0,C91*1.07+MIN(C91*0.01,30000),"")</f>
        <v/>
      </c>
      <c r="L91" s="40">
        <f>IF(E91&gt;0,C91/(E91*12),"")</f>
        <v/>
      </c>
      <c r="M91" s="35" t="n"/>
      <c r="N91" s="39" t="n"/>
      <c r="O91" s="9" t="n"/>
      <c r="P91" s="33">
        <f>IF(AND(C91&gt;0,N91&gt;0),PMT(N91/12,O91*12,-C91*(1-M91)),"")</f>
        <v/>
      </c>
      <c r="Q91" s="9" t="n"/>
    </row>
    <row r="92">
      <c r="A92" s="11" t="n"/>
      <c r="B92" s="36" t="n"/>
      <c r="C92" s="36" t="n"/>
      <c r="D92" s="11" t="n"/>
      <c r="E92" s="36" t="n"/>
      <c r="F92" s="36" t="n"/>
      <c r="G92" s="36" t="n"/>
      <c r="H92" s="38" t="n"/>
      <c r="I92" s="41">
        <f>IF(C92&gt;0,E92*12/C92,"")</f>
        <v/>
      </c>
      <c r="J92" s="41">
        <f>IF(C92&gt;0,(E92*12*(1-H92)-F92*12-G92)/C92,"")</f>
        <v/>
      </c>
      <c r="K92" s="36">
        <f>IF(C92&gt;0,C92*1.07+MIN(C92*0.01,30000),"")</f>
        <v/>
      </c>
      <c r="L92" s="42">
        <f>IF(E92&gt;0,C92/(E92*12),"")</f>
        <v/>
      </c>
      <c r="M92" s="38" t="n"/>
      <c r="N92" s="41" t="n"/>
      <c r="O92" s="11" t="n"/>
      <c r="P92" s="36">
        <f>IF(AND(C92&gt;0,N92&gt;0),PMT(N92/12,O92*12,-C92*(1-M92)),"")</f>
        <v/>
      </c>
      <c r="Q92" s="11" t="n"/>
    </row>
    <row r="93">
      <c r="A93" s="9" t="n"/>
      <c r="B93" s="33" t="n"/>
      <c r="C93" s="33" t="n"/>
      <c r="D93" s="9" t="n"/>
      <c r="E93" s="33" t="n"/>
      <c r="F93" s="33" t="n"/>
      <c r="G93" s="33" t="n"/>
      <c r="H93" s="35" t="n"/>
      <c r="I93" s="39">
        <f>IF(C93&gt;0,E93*12/C93,"")</f>
        <v/>
      </c>
      <c r="J93" s="39">
        <f>IF(C93&gt;0,(E93*12*(1-H93)-F93*12-G93)/C93,"")</f>
        <v/>
      </c>
      <c r="K93" s="33">
        <f>IF(C93&gt;0,C93*1.07+MIN(C93*0.01,30000),"")</f>
        <v/>
      </c>
      <c r="L93" s="40">
        <f>IF(E93&gt;0,C93/(E93*12),"")</f>
        <v/>
      </c>
      <c r="M93" s="35" t="n"/>
      <c r="N93" s="39" t="n"/>
      <c r="O93" s="9" t="n"/>
      <c r="P93" s="33">
        <f>IF(AND(C93&gt;0,N93&gt;0),PMT(N93/12,O93*12,-C93*(1-M93)),"")</f>
        <v/>
      </c>
      <c r="Q93" s="9" t="n"/>
    </row>
    <row r="94">
      <c r="A94" s="11" t="n"/>
      <c r="B94" s="36" t="n"/>
      <c r="C94" s="36" t="n"/>
      <c r="D94" s="11" t="n"/>
      <c r="E94" s="36" t="n"/>
      <c r="F94" s="36" t="n"/>
      <c r="G94" s="36" t="n"/>
      <c r="H94" s="38" t="n"/>
      <c r="I94" s="41">
        <f>IF(C94&gt;0,E94*12/C94,"")</f>
        <v/>
      </c>
      <c r="J94" s="41">
        <f>IF(C94&gt;0,(E94*12*(1-H94)-F94*12-G94)/C94,"")</f>
        <v/>
      </c>
      <c r="K94" s="36">
        <f>IF(C94&gt;0,C94*1.07+MIN(C94*0.01,30000),"")</f>
        <v/>
      </c>
      <c r="L94" s="42">
        <f>IF(E94&gt;0,C94/(E94*12),"")</f>
        <v/>
      </c>
      <c r="M94" s="38" t="n"/>
      <c r="N94" s="41" t="n"/>
      <c r="O94" s="11" t="n"/>
      <c r="P94" s="36">
        <f>IF(AND(C94&gt;0,N94&gt;0),PMT(N94/12,O94*12,-C94*(1-M94)),"")</f>
        <v/>
      </c>
      <c r="Q94" s="11" t="n"/>
    </row>
    <row r="95">
      <c r="A95" s="9" t="n"/>
      <c r="B95" s="33" t="n"/>
      <c r="C95" s="33" t="n"/>
      <c r="D95" s="9" t="n"/>
      <c r="E95" s="33" t="n"/>
      <c r="F95" s="33" t="n"/>
      <c r="G95" s="33" t="n"/>
      <c r="H95" s="35" t="n"/>
      <c r="I95" s="39">
        <f>IF(C95&gt;0,E95*12/C95,"")</f>
        <v/>
      </c>
      <c r="J95" s="39">
        <f>IF(C95&gt;0,(E95*12*(1-H95)-F95*12-G95)/C95,"")</f>
        <v/>
      </c>
      <c r="K95" s="33">
        <f>IF(C95&gt;0,C95*1.07+MIN(C95*0.01,30000),"")</f>
        <v/>
      </c>
      <c r="L95" s="40">
        <f>IF(E95&gt;0,C95/(E95*12),"")</f>
        <v/>
      </c>
      <c r="M95" s="35" t="n"/>
      <c r="N95" s="39" t="n"/>
      <c r="O95" s="9" t="n"/>
      <c r="P95" s="33">
        <f>IF(AND(C95&gt;0,N95&gt;0),PMT(N95/12,O95*12,-C95*(1-M95)),"")</f>
        <v/>
      </c>
      <c r="Q95" s="9" t="n"/>
    </row>
    <row r="96">
      <c r="A96" s="11" t="n"/>
      <c r="B96" s="36" t="n"/>
      <c r="C96" s="36" t="n"/>
      <c r="D96" s="11" t="n"/>
      <c r="E96" s="36" t="n"/>
      <c r="F96" s="36" t="n"/>
      <c r="G96" s="36" t="n"/>
      <c r="H96" s="38" t="n"/>
      <c r="I96" s="41">
        <f>IF(C96&gt;0,E96*12/C96,"")</f>
        <v/>
      </c>
      <c r="J96" s="41">
        <f>IF(C96&gt;0,(E96*12*(1-H96)-F96*12-G96)/C96,"")</f>
        <v/>
      </c>
      <c r="K96" s="36">
        <f>IF(C96&gt;0,C96*1.07+MIN(C96*0.01,30000),"")</f>
        <v/>
      </c>
      <c r="L96" s="42">
        <f>IF(E96&gt;0,C96/(E96*12),"")</f>
        <v/>
      </c>
      <c r="M96" s="38" t="n"/>
      <c r="N96" s="41" t="n"/>
      <c r="O96" s="11" t="n"/>
      <c r="P96" s="36">
        <f>IF(AND(C96&gt;0,N96&gt;0),PMT(N96/12,O96*12,-C96*(1-M96)),"")</f>
        <v/>
      </c>
      <c r="Q96" s="11" t="n"/>
    </row>
    <row r="97">
      <c r="A97" s="9" t="n"/>
      <c r="B97" s="33" t="n"/>
      <c r="C97" s="33" t="n"/>
      <c r="D97" s="9" t="n"/>
      <c r="E97" s="33" t="n"/>
      <c r="F97" s="33" t="n"/>
      <c r="G97" s="33" t="n"/>
      <c r="H97" s="35" t="n"/>
      <c r="I97" s="39">
        <f>IF(C97&gt;0,E97*12/C97,"")</f>
        <v/>
      </c>
      <c r="J97" s="39">
        <f>IF(C97&gt;0,(E97*12*(1-H97)-F97*12-G97)/C97,"")</f>
        <v/>
      </c>
      <c r="K97" s="33">
        <f>IF(C97&gt;0,C97*1.07+MIN(C97*0.01,30000),"")</f>
        <v/>
      </c>
      <c r="L97" s="40">
        <f>IF(E97&gt;0,C97/(E97*12),"")</f>
        <v/>
      </c>
      <c r="M97" s="35" t="n"/>
      <c r="N97" s="39" t="n"/>
      <c r="O97" s="9" t="n"/>
      <c r="P97" s="33">
        <f>IF(AND(C97&gt;0,N97&gt;0),PMT(N97/12,O97*12,-C97*(1-M97)),"")</f>
        <v/>
      </c>
      <c r="Q97" s="9" t="n"/>
    </row>
    <row r="98">
      <c r="A98" s="11" t="n"/>
      <c r="B98" s="36" t="n"/>
      <c r="C98" s="36" t="n"/>
      <c r="D98" s="11" t="n"/>
      <c r="E98" s="36" t="n"/>
      <c r="F98" s="36" t="n"/>
      <c r="G98" s="36" t="n"/>
      <c r="H98" s="38" t="n"/>
      <c r="I98" s="41">
        <f>IF(C98&gt;0,E98*12/C98,"")</f>
        <v/>
      </c>
      <c r="J98" s="41">
        <f>IF(C98&gt;0,(E98*12*(1-H98)-F98*12-G98)/C98,"")</f>
        <v/>
      </c>
      <c r="K98" s="36">
        <f>IF(C98&gt;0,C98*1.07+MIN(C98*0.01,30000),"")</f>
        <v/>
      </c>
      <c r="L98" s="42">
        <f>IF(E98&gt;0,C98/(E98*12),"")</f>
        <v/>
      </c>
      <c r="M98" s="38" t="n"/>
      <c r="N98" s="41" t="n"/>
      <c r="O98" s="11" t="n"/>
      <c r="P98" s="36">
        <f>IF(AND(C98&gt;0,N98&gt;0),PMT(N98/12,O98*12,-C98*(1-M98)),"")</f>
        <v/>
      </c>
      <c r="Q98" s="11" t="n"/>
    </row>
    <row r="99">
      <c r="A99" s="9" t="n"/>
      <c r="B99" s="33" t="n"/>
      <c r="C99" s="33" t="n"/>
      <c r="D99" s="9" t="n"/>
      <c r="E99" s="33" t="n"/>
      <c r="F99" s="33" t="n"/>
      <c r="G99" s="33" t="n"/>
      <c r="H99" s="35" t="n"/>
      <c r="I99" s="39">
        <f>IF(C99&gt;0,E99*12/C99,"")</f>
        <v/>
      </c>
      <c r="J99" s="39">
        <f>IF(C99&gt;0,(E99*12*(1-H99)-F99*12-G99)/C99,"")</f>
        <v/>
      </c>
      <c r="K99" s="33">
        <f>IF(C99&gt;0,C99*1.07+MIN(C99*0.01,30000),"")</f>
        <v/>
      </c>
      <c r="L99" s="40">
        <f>IF(E99&gt;0,C99/(E99*12),"")</f>
        <v/>
      </c>
      <c r="M99" s="35" t="n"/>
      <c r="N99" s="39" t="n"/>
      <c r="O99" s="9" t="n"/>
      <c r="P99" s="33">
        <f>IF(AND(C99&gt;0,N99&gt;0),PMT(N99/12,O99*12,-C99*(1-M99)),"")</f>
        <v/>
      </c>
      <c r="Q99" s="9" t="n"/>
    </row>
    <row r="100">
      <c r="A100" s="11" t="n"/>
      <c r="B100" s="36" t="n"/>
      <c r="C100" s="36" t="n"/>
      <c r="D100" s="11" t="n"/>
      <c r="E100" s="36" t="n"/>
      <c r="F100" s="36" t="n"/>
      <c r="G100" s="36" t="n"/>
      <c r="H100" s="38" t="n"/>
      <c r="I100" s="41">
        <f>IF(C100&gt;0,E100*12/C100,"")</f>
        <v/>
      </c>
      <c r="J100" s="41">
        <f>IF(C100&gt;0,(E100*12*(1-H100)-F100*12-G100)/C100,"")</f>
        <v/>
      </c>
      <c r="K100" s="36">
        <f>IF(C100&gt;0,C100*1.07+MIN(C100*0.01,30000),"")</f>
        <v/>
      </c>
      <c r="L100" s="42">
        <f>IF(E100&gt;0,C100/(E100*12),"")</f>
        <v/>
      </c>
      <c r="M100" s="38" t="n"/>
      <c r="N100" s="41" t="n"/>
      <c r="O100" s="11" t="n"/>
      <c r="P100" s="36">
        <f>IF(AND(C100&gt;0,N100&gt;0),PMT(N100/12,O100*12,-C100*(1-M100)),"")</f>
        <v/>
      </c>
      <c r="Q100" s="11" t="n"/>
    </row>
    <row r="101">
      <c r="A101" s="9" t="n"/>
      <c r="B101" s="33" t="n"/>
      <c r="C101" s="33" t="n"/>
      <c r="D101" s="9" t="n"/>
      <c r="E101" s="33" t="n"/>
      <c r="F101" s="33" t="n"/>
      <c r="G101" s="33" t="n"/>
      <c r="H101" s="35" t="n"/>
      <c r="I101" s="39">
        <f>IF(C101&gt;0,E101*12/C101,"")</f>
        <v/>
      </c>
      <c r="J101" s="39">
        <f>IF(C101&gt;0,(E101*12*(1-H101)-F101*12-G101)/C101,"")</f>
        <v/>
      </c>
      <c r="K101" s="33">
        <f>IF(C101&gt;0,C101*1.07+MIN(C101*0.01,30000),"")</f>
        <v/>
      </c>
      <c r="L101" s="40">
        <f>IF(E101&gt;0,C101/(E101*12),"")</f>
        <v/>
      </c>
      <c r="M101" s="35" t="n"/>
      <c r="N101" s="39" t="n"/>
      <c r="O101" s="9" t="n"/>
      <c r="P101" s="33">
        <f>IF(AND(C101&gt;0,N101&gt;0),PMT(N101/12,O101*12,-C101*(1-M101)),"")</f>
        <v/>
      </c>
      <c r="Q101" s="9" t="n"/>
    </row>
    <row r="102">
      <c r="A102" s="11" t="n"/>
      <c r="B102" s="36" t="n"/>
      <c r="C102" s="36" t="n"/>
      <c r="D102" s="11" t="n"/>
      <c r="E102" s="36" t="n"/>
      <c r="F102" s="36" t="n"/>
      <c r="G102" s="36" t="n"/>
      <c r="H102" s="38" t="n"/>
      <c r="I102" s="41">
        <f>IF(C102&gt;0,E102*12/C102,"")</f>
        <v/>
      </c>
      <c r="J102" s="41">
        <f>IF(C102&gt;0,(E102*12*(1-H102)-F102*12-G102)/C102,"")</f>
        <v/>
      </c>
      <c r="K102" s="36">
        <f>IF(C102&gt;0,C102*1.07+MIN(C102*0.01,30000),"")</f>
        <v/>
      </c>
      <c r="L102" s="42">
        <f>IF(E102&gt;0,C102/(E102*12),"")</f>
        <v/>
      </c>
      <c r="M102" s="38" t="n"/>
      <c r="N102" s="41" t="n"/>
      <c r="O102" s="11" t="n"/>
      <c r="P102" s="36">
        <f>IF(AND(C102&gt;0,N102&gt;0),PMT(N102/12,O102*12,-C102*(1-M102)),"")</f>
        <v/>
      </c>
      <c r="Q102" s="11" t="n"/>
    </row>
    <row r="103">
      <c r="A103" s="9" t="n"/>
      <c r="B103" s="33" t="n"/>
      <c r="C103" s="33" t="n"/>
      <c r="D103" s="9" t="n"/>
      <c r="E103" s="33" t="n"/>
      <c r="F103" s="33" t="n"/>
      <c r="G103" s="33" t="n"/>
      <c r="H103" s="35" t="n"/>
      <c r="I103" s="39">
        <f>IF(C103&gt;0,E103*12/C103,"")</f>
        <v/>
      </c>
      <c r="J103" s="39">
        <f>IF(C103&gt;0,(E103*12*(1-H103)-F103*12-G103)/C103,"")</f>
        <v/>
      </c>
      <c r="K103" s="33">
        <f>IF(C103&gt;0,C103*1.07+MIN(C103*0.01,30000),"")</f>
        <v/>
      </c>
      <c r="L103" s="40">
        <f>IF(E103&gt;0,C103/(E103*12),"")</f>
        <v/>
      </c>
      <c r="M103" s="35" t="n"/>
      <c r="N103" s="39" t="n"/>
      <c r="O103" s="9" t="n"/>
      <c r="P103" s="33">
        <f>IF(AND(C103&gt;0,N103&gt;0),PMT(N103/12,O103*12,-C103*(1-M103)),"")</f>
        <v/>
      </c>
      <c r="Q103" s="9" t="n"/>
    </row>
    <row r="104">
      <c r="A104" s="11" t="n"/>
      <c r="B104" s="36" t="n"/>
      <c r="C104" s="36" t="n"/>
      <c r="D104" s="11" t="n"/>
      <c r="E104" s="36" t="n"/>
      <c r="F104" s="36" t="n"/>
      <c r="G104" s="36" t="n"/>
      <c r="H104" s="38" t="n"/>
      <c r="I104" s="41">
        <f>IF(C104&gt;0,E104*12/C104,"")</f>
        <v/>
      </c>
      <c r="J104" s="41">
        <f>IF(C104&gt;0,(E104*12*(1-H104)-F104*12-G104)/C104,"")</f>
        <v/>
      </c>
      <c r="K104" s="36">
        <f>IF(C104&gt;0,C104*1.07+MIN(C104*0.01,30000),"")</f>
        <v/>
      </c>
      <c r="L104" s="42">
        <f>IF(E104&gt;0,C104/(E104*12),"")</f>
        <v/>
      </c>
      <c r="M104" s="38" t="n"/>
      <c r="N104" s="41" t="n"/>
      <c r="O104" s="11" t="n"/>
      <c r="P104" s="36">
        <f>IF(AND(C104&gt;0,N104&gt;0),PMT(N104/12,O104*12,-C104*(1-M104)),"")</f>
        <v/>
      </c>
      <c r="Q104" s="11" t="n"/>
    </row>
    <row r="106">
      <c r="A106" s="23" t="inlineStr">
        <is>
          <t>All-in cost formula assumes 6% stamp duty + 1% TDS (above ₹50 lakh) + 1% registration capped at ₹30,000. Use 5% stamp duty for a sole female owner. Confirm current rates before quoting — see the Compliance sheet.</t>
        </is>
      </c>
    </row>
  </sheetData>
  <mergeCells count="2">
    <mergeCell ref="A2:Q2"/>
    <mergeCell ref="A106:K10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1" customWidth="1" min="5" max="5"/>
    <col width="11" customWidth="1" min="6" max="6"/>
    <col width="13" customWidth="1" min="7" max="7"/>
    <col width="12" customWidth="1" min="8" max="8"/>
    <col width="11" customWidth="1" min="9" max="9"/>
    <col width="9" customWidth="1" min="10" max="10"/>
    <col width="9" customWidth="1" min="11" max="11"/>
    <col width="9" customWidth="1" min="12" max="12"/>
    <col width="10" customWidth="1" min="13" max="13"/>
    <col width="13" customWidth="1" min="14" max="14"/>
    <col width="13" customWidth="1" min="15" max="15"/>
    <col width="12" customWidth="1" min="16" max="16"/>
  </cols>
  <sheetData>
    <row r="1" ht="22" customHeight="1">
      <c r="A1" s="6" t="inlineStr">
        <is>
          <t>Locality and pocket scorecard</t>
        </is>
      </c>
    </row>
    <row r="2" ht="30" customHeight="1">
      <c r="A2" s="7" t="inlineStr">
        <is>
          <t>One row per POCKET (L4), not per locality. Registered and asking prices are separate columns and must never be merged. Sample size is mandatory on every aggregate.</t>
        </is>
      </c>
    </row>
    <row r="4" ht="26" customHeight="1">
      <c r="A4" s="8" t="inlineStr">
        <is>
          <t>Locality</t>
        </is>
      </c>
      <c r="B4" s="8" t="inlineStr">
        <is>
          <t>Pocket (L4)</t>
        </is>
      </c>
      <c r="C4" s="8" t="inlineStr">
        <is>
          <t>Registered ₹/sqft</t>
        </is>
      </c>
      <c r="D4" s="8" t="inlineStr">
        <is>
          <t>Asking ₹/sqft</t>
        </is>
      </c>
      <c r="E4" s="8" t="inlineStr">
        <is>
          <t>Area basis</t>
        </is>
      </c>
      <c r="F4" s="8" t="inlineStr">
        <is>
          <t>Sample n</t>
        </is>
      </c>
      <c r="G4" s="8" t="inlineStr">
        <is>
          <t>Observed date</t>
        </is>
      </c>
      <c r="H4" s="8" t="inlineStr">
        <is>
          <t>2BHK rent ₹</t>
        </is>
      </c>
      <c r="I4" s="8" t="inlineStr">
        <is>
          <t>Gross yield</t>
        </is>
      </c>
      <c r="J4" s="8" t="inlineStr">
        <is>
          <t>Liquidity</t>
        </is>
      </c>
      <c r="K4" s="8" t="inlineStr">
        <is>
          <t>Infra</t>
        </is>
      </c>
      <c r="L4" s="8" t="inlineStr">
        <is>
          <t>Risk</t>
        </is>
      </c>
      <c r="M4" s="8" t="inlineStr">
        <is>
          <t>Client fit</t>
        </is>
      </c>
      <c r="N4" s="8" t="inlineStr">
        <is>
          <t>Source ref</t>
        </is>
      </c>
      <c r="O4" s="8" t="inlineStr">
        <is>
          <t>Confidence</t>
        </is>
      </c>
      <c r="P4" s="8" t="inlineStr">
        <is>
          <t>Overall</t>
        </is>
      </c>
    </row>
    <row r="5">
      <c r="A5" s="9" t="inlineStr">
        <is>
          <t>Powai</t>
        </is>
      </c>
      <c r="B5" s="9" t="inlineStr">
        <is>
          <t>Hiranandani Gardens</t>
        </is>
      </c>
      <c r="C5" s="33" t="n">
        <v>25850</v>
      </c>
      <c r="D5" s="33" t="n">
        <v>28700</v>
      </c>
      <c r="E5" s="9" t="inlineStr">
        <is>
          <t>carpet</t>
        </is>
      </c>
      <c r="F5" s="9" t="n">
        <v>12</v>
      </c>
      <c r="G5" s="9" t="inlineStr">
        <is>
          <t>2026-08-14</t>
        </is>
      </c>
      <c r="H5" s="33" t="n">
        <v>78000</v>
      </c>
      <c r="I5" s="39">
        <f>IF(AND(C5&gt;0,H5&gt;0),H5*12/(C5*900),"")</f>
        <v/>
      </c>
      <c r="J5" s="9" t="n">
        <v>7</v>
      </c>
      <c r="K5" s="9" t="n">
        <v>8</v>
      </c>
      <c r="L5" s="9" t="n">
        <v>6</v>
      </c>
      <c r="M5" s="9" t="n">
        <v>8</v>
      </c>
      <c r="N5" s="9" t="inlineStr">
        <is>
          <t>SRC-015</t>
        </is>
      </c>
      <c r="O5" s="9" t="inlineStr">
        <is>
          <t>medium</t>
        </is>
      </c>
      <c r="P5" s="40">
        <f>IF(COUNT(J5:M5)=4,ROUND(AVERAGE(J5:M5),1),"")</f>
        <v/>
      </c>
    </row>
    <row r="6">
      <c r="A6" s="11" t="inlineStr">
        <is>
          <t>Powai</t>
        </is>
      </c>
      <c r="B6" s="11" t="inlineStr">
        <is>
          <t>Emerald Isle / Saki Vihar</t>
        </is>
      </c>
      <c r="C6" s="36" t="n">
        <v>25850</v>
      </c>
      <c r="D6" s="36" t="n">
        <v>33000</v>
      </c>
      <c r="E6" s="11" t="inlineStr">
        <is>
          <t>carpet</t>
        </is>
      </c>
      <c r="F6" s="11" t="n">
        <v>8</v>
      </c>
      <c r="G6" s="11" t="inlineStr">
        <is>
          <t>2026-08-14</t>
        </is>
      </c>
      <c r="H6" s="36" t="n">
        <v>75000</v>
      </c>
      <c r="I6" s="41">
        <f>IF(AND(C6&gt;0,H6&gt;0),H6*12/(C6*900),"")</f>
        <v/>
      </c>
      <c r="J6" s="11" t="n">
        <v>7</v>
      </c>
      <c r="K6" s="11" t="n">
        <v>9</v>
      </c>
      <c r="L6" s="11" t="n">
        <v>6</v>
      </c>
      <c r="M6" s="11" t="n">
        <v>8</v>
      </c>
      <c r="N6" s="11" t="inlineStr">
        <is>
          <t>SRC-015</t>
        </is>
      </c>
      <c r="O6" s="11" t="inlineStr">
        <is>
          <t>medium</t>
        </is>
      </c>
      <c r="P6" s="42">
        <f>IF(COUNT(J6:M6)=4,ROUND(AVERAGE(J6:M6),1),"")</f>
        <v/>
      </c>
    </row>
    <row r="7">
      <c r="A7" s="9" t="inlineStr">
        <is>
          <t>Powai</t>
        </is>
      </c>
      <c r="B7" s="9" t="inlineStr">
        <is>
          <t>IIT Powai fringe</t>
        </is>
      </c>
      <c r="C7" s="33" t="n">
        <v>22400</v>
      </c>
      <c r="D7" s="33" t="n">
        <v>20810</v>
      </c>
      <c r="E7" s="9" t="inlineStr">
        <is>
          <t>carpet</t>
        </is>
      </c>
      <c r="F7" s="9" t="n">
        <v>5</v>
      </c>
      <c r="G7" s="9" t="inlineStr">
        <is>
          <t>2026-08-14</t>
        </is>
      </c>
      <c r="H7" s="33" t="n">
        <v>65000</v>
      </c>
      <c r="I7" s="39">
        <f>IF(AND(C7&gt;0,H7&gt;0),H7*12/(C7*900),"")</f>
        <v/>
      </c>
      <c r="J7" s="9" t="n">
        <v>7</v>
      </c>
      <c r="K7" s="9" t="n">
        <v>8</v>
      </c>
      <c r="L7" s="9" t="n">
        <v>7</v>
      </c>
      <c r="M7" s="9" t="n">
        <v>6</v>
      </c>
      <c r="N7" s="9" t="inlineStr">
        <is>
          <t>SRC-015</t>
        </is>
      </c>
      <c r="O7" s="9" t="inlineStr">
        <is>
          <t>low</t>
        </is>
      </c>
      <c r="P7" s="40">
        <f>IF(COUNT(J7:M7)=4,ROUND(AVERAGE(J7:M7),1),"")</f>
        <v/>
      </c>
    </row>
    <row r="8">
      <c r="A8" s="11" t="n"/>
      <c r="B8" s="11" t="n"/>
      <c r="C8" s="36" t="n"/>
      <c r="D8" s="36" t="n"/>
      <c r="E8" s="11" t="n"/>
      <c r="F8" s="11" t="n"/>
      <c r="G8" s="11" t="n"/>
      <c r="H8" s="36" t="n"/>
      <c r="I8" s="41">
        <f>IF(AND(C8&gt;0,H8&gt;0),H8*12/(C8*900),"")</f>
        <v/>
      </c>
      <c r="J8" s="11" t="n"/>
      <c r="K8" s="11" t="n"/>
      <c r="L8" s="11" t="n"/>
      <c r="M8" s="11" t="n"/>
      <c r="N8" s="11" t="n"/>
      <c r="O8" s="11" t="n"/>
      <c r="P8" s="42">
        <f>IF(COUNT(J8:M8)=4,ROUND(AVERAGE(J8:M8),1),"")</f>
        <v/>
      </c>
    </row>
    <row r="9">
      <c r="A9" s="9" t="n"/>
      <c r="B9" s="9" t="n"/>
      <c r="C9" s="33" t="n"/>
      <c r="D9" s="33" t="n"/>
      <c r="E9" s="9" t="n"/>
      <c r="F9" s="9" t="n"/>
      <c r="G9" s="9" t="n"/>
      <c r="H9" s="33" t="n"/>
      <c r="I9" s="39">
        <f>IF(AND(C9&gt;0,H9&gt;0),H9*12/(C9*900),"")</f>
        <v/>
      </c>
      <c r="J9" s="9" t="n"/>
      <c r="K9" s="9" t="n"/>
      <c r="L9" s="9" t="n"/>
      <c r="M9" s="9" t="n"/>
      <c r="N9" s="9" t="n"/>
      <c r="O9" s="9" t="n"/>
      <c r="P9" s="40">
        <f>IF(COUNT(J9:M9)=4,ROUND(AVERAGE(J9:M9),1),"")</f>
        <v/>
      </c>
    </row>
    <row r="10">
      <c r="A10" s="11" t="n"/>
      <c r="B10" s="11" t="n"/>
      <c r="C10" s="36" t="n"/>
      <c r="D10" s="36" t="n"/>
      <c r="E10" s="11" t="n"/>
      <c r="F10" s="11" t="n"/>
      <c r="G10" s="11" t="n"/>
      <c r="H10" s="36" t="n"/>
      <c r="I10" s="41">
        <f>IF(AND(C10&gt;0,H10&gt;0),H10*12/(C10*900),"")</f>
        <v/>
      </c>
      <c r="J10" s="11" t="n"/>
      <c r="K10" s="11" t="n"/>
      <c r="L10" s="11" t="n"/>
      <c r="M10" s="11" t="n"/>
      <c r="N10" s="11" t="n"/>
      <c r="O10" s="11" t="n"/>
      <c r="P10" s="42">
        <f>IF(COUNT(J10:M10)=4,ROUND(AVERAGE(J10:M10),1),"")</f>
        <v/>
      </c>
    </row>
    <row r="11">
      <c r="A11" s="9" t="n"/>
      <c r="B11" s="9" t="n"/>
      <c r="C11" s="33" t="n"/>
      <c r="D11" s="33" t="n"/>
      <c r="E11" s="9" t="n"/>
      <c r="F11" s="9" t="n"/>
      <c r="G11" s="9" t="n"/>
      <c r="H11" s="33" t="n"/>
      <c r="I11" s="39">
        <f>IF(AND(C11&gt;0,H11&gt;0),H11*12/(C11*900),"")</f>
        <v/>
      </c>
      <c r="J11" s="9" t="n"/>
      <c r="K11" s="9" t="n"/>
      <c r="L11" s="9" t="n"/>
      <c r="M11" s="9" t="n"/>
      <c r="N11" s="9" t="n"/>
      <c r="O11" s="9" t="n"/>
      <c r="P11" s="40">
        <f>IF(COUNT(J11:M11)=4,ROUND(AVERAGE(J11:M11),1),"")</f>
        <v/>
      </c>
    </row>
    <row r="12">
      <c r="A12" s="11" t="n"/>
      <c r="B12" s="11" t="n"/>
      <c r="C12" s="36" t="n"/>
      <c r="D12" s="36" t="n"/>
      <c r="E12" s="11" t="n"/>
      <c r="F12" s="11" t="n"/>
      <c r="G12" s="11" t="n"/>
      <c r="H12" s="36" t="n"/>
      <c r="I12" s="41">
        <f>IF(AND(C12&gt;0,H12&gt;0),H12*12/(C12*900),"")</f>
        <v/>
      </c>
      <c r="J12" s="11" t="n"/>
      <c r="K12" s="11" t="n"/>
      <c r="L12" s="11" t="n"/>
      <c r="M12" s="11" t="n"/>
      <c r="N12" s="11" t="n"/>
      <c r="O12" s="11" t="n"/>
      <c r="P12" s="42">
        <f>IF(COUNT(J12:M12)=4,ROUND(AVERAGE(J12:M12),1),"")</f>
        <v/>
      </c>
    </row>
    <row r="13">
      <c r="A13" s="9" t="n"/>
      <c r="B13" s="9" t="n"/>
      <c r="C13" s="33" t="n"/>
      <c r="D13" s="33" t="n"/>
      <c r="E13" s="9" t="n"/>
      <c r="F13" s="9" t="n"/>
      <c r="G13" s="9" t="n"/>
      <c r="H13" s="33" t="n"/>
      <c r="I13" s="39">
        <f>IF(AND(C13&gt;0,H13&gt;0),H13*12/(C13*900),"")</f>
        <v/>
      </c>
      <c r="J13" s="9" t="n"/>
      <c r="K13" s="9" t="n"/>
      <c r="L13" s="9" t="n"/>
      <c r="M13" s="9" t="n"/>
      <c r="N13" s="9" t="n"/>
      <c r="O13" s="9" t="n"/>
      <c r="P13" s="40">
        <f>IF(COUNT(J13:M13)=4,ROUND(AVERAGE(J13:M13),1),"")</f>
        <v/>
      </c>
    </row>
    <row r="14">
      <c r="A14" s="11" t="n"/>
      <c r="B14" s="11" t="n"/>
      <c r="C14" s="36" t="n"/>
      <c r="D14" s="36" t="n"/>
      <c r="E14" s="11" t="n"/>
      <c r="F14" s="11" t="n"/>
      <c r="G14" s="11" t="n"/>
      <c r="H14" s="36" t="n"/>
      <c r="I14" s="41">
        <f>IF(AND(C14&gt;0,H14&gt;0),H14*12/(C14*900),"")</f>
        <v/>
      </c>
      <c r="J14" s="11" t="n"/>
      <c r="K14" s="11" t="n"/>
      <c r="L14" s="11" t="n"/>
      <c r="M14" s="11" t="n"/>
      <c r="N14" s="11" t="n"/>
      <c r="O14" s="11" t="n"/>
      <c r="P14" s="42">
        <f>IF(COUNT(J14:M14)=4,ROUND(AVERAGE(J14:M14),1),"")</f>
        <v/>
      </c>
    </row>
    <row r="15">
      <c r="A15" s="9" t="n"/>
      <c r="B15" s="9" t="n"/>
      <c r="C15" s="33" t="n"/>
      <c r="D15" s="33" t="n"/>
      <c r="E15" s="9" t="n"/>
      <c r="F15" s="9" t="n"/>
      <c r="G15" s="9" t="n"/>
      <c r="H15" s="33" t="n"/>
      <c r="I15" s="39">
        <f>IF(AND(C15&gt;0,H15&gt;0),H15*12/(C15*900),"")</f>
        <v/>
      </c>
      <c r="J15" s="9" t="n"/>
      <c r="K15" s="9" t="n"/>
      <c r="L15" s="9" t="n"/>
      <c r="M15" s="9" t="n"/>
      <c r="N15" s="9" t="n"/>
      <c r="O15" s="9" t="n"/>
      <c r="P15" s="40">
        <f>IF(COUNT(J15:M15)=4,ROUND(AVERAGE(J15:M15),1),"")</f>
        <v/>
      </c>
    </row>
    <row r="16">
      <c r="A16" s="11" t="n"/>
      <c r="B16" s="11" t="n"/>
      <c r="C16" s="36" t="n"/>
      <c r="D16" s="36" t="n"/>
      <c r="E16" s="11" t="n"/>
      <c r="F16" s="11" t="n"/>
      <c r="G16" s="11" t="n"/>
      <c r="H16" s="36" t="n"/>
      <c r="I16" s="41">
        <f>IF(AND(C16&gt;0,H16&gt;0),H16*12/(C16*900),"")</f>
        <v/>
      </c>
      <c r="J16" s="11" t="n"/>
      <c r="K16" s="11" t="n"/>
      <c r="L16" s="11" t="n"/>
      <c r="M16" s="11" t="n"/>
      <c r="N16" s="11" t="n"/>
      <c r="O16" s="11" t="n"/>
      <c r="P16" s="42">
        <f>IF(COUNT(J16:M16)=4,ROUND(AVERAGE(J16:M16),1),"")</f>
        <v/>
      </c>
    </row>
    <row r="17">
      <c r="A17" s="9" t="n"/>
      <c r="B17" s="9" t="n"/>
      <c r="C17" s="33" t="n"/>
      <c r="D17" s="33" t="n"/>
      <c r="E17" s="9" t="n"/>
      <c r="F17" s="9" t="n"/>
      <c r="G17" s="9" t="n"/>
      <c r="H17" s="33" t="n"/>
      <c r="I17" s="39">
        <f>IF(AND(C17&gt;0,H17&gt;0),H17*12/(C17*900),"")</f>
        <v/>
      </c>
      <c r="J17" s="9" t="n"/>
      <c r="K17" s="9" t="n"/>
      <c r="L17" s="9" t="n"/>
      <c r="M17" s="9" t="n"/>
      <c r="N17" s="9" t="n"/>
      <c r="O17" s="9" t="n"/>
      <c r="P17" s="40">
        <f>IF(COUNT(J17:M17)=4,ROUND(AVERAGE(J17:M17),1),"")</f>
        <v/>
      </c>
    </row>
    <row r="18">
      <c r="A18" s="11" t="n"/>
      <c r="B18" s="11" t="n"/>
      <c r="C18" s="36" t="n"/>
      <c r="D18" s="36" t="n"/>
      <c r="E18" s="11" t="n"/>
      <c r="F18" s="11" t="n"/>
      <c r="G18" s="11" t="n"/>
      <c r="H18" s="36" t="n"/>
      <c r="I18" s="41">
        <f>IF(AND(C18&gt;0,H18&gt;0),H18*12/(C18*900),"")</f>
        <v/>
      </c>
      <c r="J18" s="11" t="n"/>
      <c r="K18" s="11" t="n"/>
      <c r="L18" s="11" t="n"/>
      <c r="M18" s="11" t="n"/>
      <c r="N18" s="11" t="n"/>
      <c r="O18" s="11" t="n"/>
      <c r="P18" s="42">
        <f>IF(COUNT(J18:M18)=4,ROUND(AVERAGE(J18:M18),1),"")</f>
        <v/>
      </c>
    </row>
    <row r="19">
      <c r="A19" s="9" t="n"/>
      <c r="B19" s="9" t="n"/>
      <c r="C19" s="33" t="n"/>
      <c r="D19" s="33" t="n"/>
      <c r="E19" s="9" t="n"/>
      <c r="F19" s="9" t="n"/>
      <c r="G19" s="9" t="n"/>
      <c r="H19" s="33" t="n"/>
      <c r="I19" s="39">
        <f>IF(AND(C19&gt;0,H19&gt;0),H19*12/(C19*900),"")</f>
        <v/>
      </c>
      <c r="J19" s="9" t="n"/>
      <c r="K19" s="9" t="n"/>
      <c r="L19" s="9" t="n"/>
      <c r="M19" s="9" t="n"/>
      <c r="N19" s="9" t="n"/>
      <c r="O19" s="9" t="n"/>
      <c r="P19" s="40">
        <f>IF(COUNT(J19:M19)=4,ROUND(AVERAGE(J19:M19),1),"")</f>
        <v/>
      </c>
    </row>
    <row r="20">
      <c r="A20" s="11" t="n"/>
      <c r="B20" s="11" t="n"/>
      <c r="C20" s="36" t="n"/>
      <c r="D20" s="36" t="n"/>
      <c r="E20" s="11" t="n"/>
      <c r="F20" s="11" t="n"/>
      <c r="G20" s="11" t="n"/>
      <c r="H20" s="36" t="n"/>
      <c r="I20" s="41">
        <f>IF(AND(C20&gt;0,H20&gt;0),H20*12/(C20*900),"")</f>
        <v/>
      </c>
      <c r="J20" s="11" t="n"/>
      <c r="K20" s="11" t="n"/>
      <c r="L20" s="11" t="n"/>
      <c r="M20" s="11" t="n"/>
      <c r="N20" s="11" t="n"/>
      <c r="O20" s="11" t="n"/>
      <c r="P20" s="42">
        <f>IF(COUNT(J20:M20)=4,ROUND(AVERAGE(J20:M20),1),"")</f>
        <v/>
      </c>
    </row>
    <row r="21">
      <c r="A21" s="9" t="n"/>
      <c r="B21" s="9" t="n"/>
      <c r="C21" s="33" t="n"/>
      <c r="D21" s="33" t="n"/>
      <c r="E21" s="9" t="n"/>
      <c r="F21" s="9" t="n"/>
      <c r="G21" s="9" t="n"/>
      <c r="H21" s="33" t="n"/>
      <c r="I21" s="39">
        <f>IF(AND(C21&gt;0,H21&gt;0),H21*12/(C21*900),"")</f>
        <v/>
      </c>
      <c r="J21" s="9" t="n"/>
      <c r="K21" s="9" t="n"/>
      <c r="L21" s="9" t="n"/>
      <c r="M21" s="9" t="n"/>
      <c r="N21" s="9" t="n"/>
      <c r="O21" s="9" t="n"/>
      <c r="P21" s="40">
        <f>IF(COUNT(J21:M21)=4,ROUND(AVERAGE(J21:M21),1),"")</f>
        <v/>
      </c>
    </row>
    <row r="22">
      <c r="A22" s="11" t="n"/>
      <c r="B22" s="11" t="n"/>
      <c r="C22" s="36" t="n"/>
      <c r="D22" s="36" t="n"/>
      <c r="E22" s="11" t="n"/>
      <c r="F22" s="11" t="n"/>
      <c r="G22" s="11" t="n"/>
      <c r="H22" s="36" t="n"/>
      <c r="I22" s="41">
        <f>IF(AND(C22&gt;0,H22&gt;0),H22*12/(C22*900),"")</f>
        <v/>
      </c>
      <c r="J22" s="11" t="n"/>
      <c r="K22" s="11" t="n"/>
      <c r="L22" s="11" t="n"/>
      <c r="M22" s="11" t="n"/>
      <c r="N22" s="11" t="n"/>
      <c r="O22" s="11" t="n"/>
      <c r="P22" s="42">
        <f>IF(COUNT(J22:M22)=4,ROUND(AVERAGE(J22:M22),1),"")</f>
        <v/>
      </c>
    </row>
    <row r="23">
      <c r="A23" s="9" t="n"/>
      <c r="B23" s="9" t="n"/>
      <c r="C23" s="33" t="n"/>
      <c r="D23" s="33" t="n"/>
      <c r="E23" s="9" t="n"/>
      <c r="F23" s="9" t="n"/>
      <c r="G23" s="9" t="n"/>
      <c r="H23" s="33" t="n"/>
      <c r="I23" s="39">
        <f>IF(AND(C23&gt;0,H23&gt;0),H23*12/(C23*900),"")</f>
        <v/>
      </c>
      <c r="J23" s="9" t="n"/>
      <c r="K23" s="9" t="n"/>
      <c r="L23" s="9" t="n"/>
      <c r="M23" s="9" t="n"/>
      <c r="N23" s="9" t="n"/>
      <c r="O23" s="9" t="n"/>
      <c r="P23" s="40">
        <f>IF(COUNT(J23:M23)=4,ROUND(AVERAGE(J23:M23),1),"")</f>
        <v/>
      </c>
    </row>
    <row r="24">
      <c r="A24" s="11" t="n"/>
      <c r="B24" s="11" t="n"/>
      <c r="C24" s="36" t="n"/>
      <c r="D24" s="36" t="n"/>
      <c r="E24" s="11" t="n"/>
      <c r="F24" s="11" t="n"/>
      <c r="G24" s="11" t="n"/>
      <c r="H24" s="36" t="n"/>
      <c r="I24" s="41">
        <f>IF(AND(C24&gt;0,H24&gt;0),H24*12/(C24*900),"")</f>
        <v/>
      </c>
      <c r="J24" s="11" t="n"/>
      <c r="K24" s="11" t="n"/>
      <c r="L24" s="11" t="n"/>
      <c r="M24" s="11" t="n"/>
      <c r="N24" s="11" t="n"/>
      <c r="O24" s="11" t="n"/>
      <c r="P24" s="42">
        <f>IF(COUNT(J24:M24)=4,ROUND(AVERAGE(J24:M24),1),"")</f>
        <v/>
      </c>
    </row>
    <row r="25">
      <c r="A25" s="9" t="n"/>
      <c r="B25" s="9" t="n"/>
      <c r="C25" s="33" t="n"/>
      <c r="D25" s="33" t="n"/>
      <c r="E25" s="9" t="n"/>
      <c r="F25" s="9" t="n"/>
      <c r="G25" s="9" t="n"/>
      <c r="H25" s="33" t="n"/>
      <c r="I25" s="39">
        <f>IF(AND(C25&gt;0,H25&gt;0),H25*12/(C25*900),"")</f>
        <v/>
      </c>
      <c r="J25" s="9" t="n"/>
      <c r="K25" s="9" t="n"/>
      <c r="L25" s="9" t="n"/>
      <c r="M25" s="9" t="n"/>
      <c r="N25" s="9" t="n"/>
      <c r="O25" s="9" t="n"/>
      <c r="P25" s="40">
        <f>IF(COUNT(J25:M25)=4,ROUND(AVERAGE(J25:M25),1),"")</f>
        <v/>
      </c>
    </row>
    <row r="26">
      <c r="A26" s="11" t="n"/>
      <c r="B26" s="11" t="n"/>
      <c r="C26" s="36" t="n"/>
      <c r="D26" s="36" t="n"/>
      <c r="E26" s="11" t="n"/>
      <c r="F26" s="11" t="n"/>
      <c r="G26" s="11" t="n"/>
      <c r="H26" s="36" t="n"/>
      <c r="I26" s="41">
        <f>IF(AND(C26&gt;0,H26&gt;0),H26*12/(C26*900),"")</f>
        <v/>
      </c>
      <c r="J26" s="11" t="n"/>
      <c r="K26" s="11" t="n"/>
      <c r="L26" s="11" t="n"/>
      <c r="M26" s="11" t="n"/>
      <c r="N26" s="11" t="n"/>
      <c r="O26" s="11" t="n"/>
      <c r="P26" s="42">
        <f>IF(COUNT(J26:M26)=4,ROUND(AVERAGE(J26:M26),1),"")</f>
        <v/>
      </c>
    </row>
    <row r="27">
      <c r="A27" s="9" t="n"/>
      <c r="B27" s="9" t="n"/>
      <c r="C27" s="33" t="n"/>
      <c r="D27" s="33" t="n"/>
      <c r="E27" s="9" t="n"/>
      <c r="F27" s="9" t="n"/>
      <c r="G27" s="9" t="n"/>
      <c r="H27" s="33" t="n"/>
      <c r="I27" s="39">
        <f>IF(AND(C27&gt;0,H27&gt;0),H27*12/(C27*900),"")</f>
        <v/>
      </c>
      <c r="J27" s="9" t="n"/>
      <c r="K27" s="9" t="n"/>
      <c r="L27" s="9" t="n"/>
      <c r="M27" s="9" t="n"/>
      <c r="N27" s="9" t="n"/>
      <c r="O27" s="9" t="n"/>
      <c r="P27" s="40">
        <f>IF(COUNT(J27:M27)=4,ROUND(AVERAGE(J27:M27),1),"")</f>
        <v/>
      </c>
    </row>
    <row r="28">
      <c r="A28" s="11" t="n"/>
      <c r="B28" s="11" t="n"/>
      <c r="C28" s="36" t="n"/>
      <c r="D28" s="36" t="n"/>
      <c r="E28" s="11" t="n"/>
      <c r="F28" s="11" t="n"/>
      <c r="G28" s="11" t="n"/>
      <c r="H28" s="36" t="n"/>
      <c r="I28" s="41">
        <f>IF(AND(C28&gt;0,H28&gt;0),H28*12/(C28*900),"")</f>
        <v/>
      </c>
      <c r="J28" s="11" t="n"/>
      <c r="K28" s="11" t="n"/>
      <c r="L28" s="11" t="n"/>
      <c r="M28" s="11" t="n"/>
      <c r="N28" s="11" t="n"/>
      <c r="O28" s="11" t="n"/>
      <c r="P28" s="42">
        <f>IF(COUNT(J28:M28)=4,ROUND(AVERAGE(J28:M28),1),"")</f>
        <v/>
      </c>
    </row>
    <row r="29">
      <c r="A29" s="9" t="n"/>
      <c r="B29" s="9" t="n"/>
      <c r="C29" s="33" t="n"/>
      <c r="D29" s="33" t="n"/>
      <c r="E29" s="9" t="n"/>
      <c r="F29" s="9" t="n"/>
      <c r="G29" s="9" t="n"/>
      <c r="H29" s="33" t="n"/>
      <c r="I29" s="39">
        <f>IF(AND(C29&gt;0,H29&gt;0),H29*12/(C29*900),"")</f>
        <v/>
      </c>
      <c r="J29" s="9" t="n"/>
      <c r="K29" s="9" t="n"/>
      <c r="L29" s="9" t="n"/>
      <c r="M29" s="9" t="n"/>
      <c r="N29" s="9" t="n"/>
      <c r="O29" s="9" t="n"/>
      <c r="P29" s="40">
        <f>IF(COUNT(J29:M29)=4,ROUND(AVERAGE(J29:M29),1),"")</f>
        <v/>
      </c>
    </row>
    <row r="30">
      <c r="A30" s="11" t="n"/>
      <c r="B30" s="11" t="n"/>
      <c r="C30" s="36" t="n"/>
      <c r="D30" s="36" t="n"/>
      <c r="E30" s="11" t="n"/>
      <c r="F30" s="11" t="n"/>
      <c r="G30" s="11" t="n"/>
      <c r="H30" s="36" t="n"/>
      <c r="I30" s="41">
        <f>IF(AND(C30&gt;0,H30&gt;0),H30*12/(C30*900),"")</f>
        <v/>
      </c>
      <c r="J30" s="11" t="n"/>
      <c r="K30" s="11" t="n"/>
      <c r="L30" s="11" t="n"/>
      <c r="M30" s="11" t="n"/>
      <c r="N30" s="11" t="n"/>
      <c r="O30" s="11" t="n"/>
      <c r="P30" s="42">
        <f>IF(COUNT(J30:M30)=4,ROUND(AVERAGE(J30:M30),1),"")</f>
        <v/>
      </c>
    </row>
    <row r="31">
      <c r="A31" s="9" t="n"/>
      <c r="B31" s="9" t="n"/>
      <c r="C31" s="33" t="n"/>
      <c r="D31" s="33" t="n"/>
      <c r="E31" s="9" t="n"/>
      <c r="F31" s="9" t="n"/>
      <c r="G31" s="9" t="n"/>
      <c r="H31" s="33" t="n"/>
      <c r="I31" s="39">
        <f>IF(AND(C31&gt;0,H31&gt;0),H31*12/(C31*900),"")</f>
        <v/>
      </c>
      <c r="J31" s="9" t="n"/>
      <c r="K31" s="9" t="n"/>
      <c r="L31" s="9" t="n"/>
      <c r="M31" s="9" t="n"/>
      <c r="N31" s="9" t="n"/>
      <c r="O31" s="9" t="n"/>
      <c r="P31" s="40">
        <f>IF(COUNT(J31:M31)=4,ROUND(AVERAGE(J31:M31),1),"")</f>
        <v/>
      </c>
    </row>
    <row r="32">
      <c r="A32" s="11" t="n"/>
      <c r="B32" s="11" t="n"/>
      <c r="C32" s="36" t="n"/>
      <c r="D32" s="36" t="n"/>
      <c r="E32" s="11" t="n"/>
      <c r="F32" s="11" t="n"/>
      <c r="G32" s="11" t="n"/>
      <c r="H32" s="36" t="n"/>
      <c r="I32" s="41">
        <f>IF(AND(C32&gt;0,H32&gt;0),H32*12/(C32*900),"")</f>
        <v/>
      </c>
      <c r="J32" s="11" t="n"/>
      <c r="K32" s="11" t="n"/>
      <c r="L32" s="11" t="n"/>
      <c r="M32" s="11" t="n"/>
      <c r="N32" s="11" t="n"/>
      <c r="O32" s="11" t="n"/>
      <c r="P32" s="42">
        <f>IF(COUNT(J32:M32)=4,ROUND(AVERAGE(J32:M32),1),"")</f>
        <v/>
      </c>
    </row>
    <row r="33">
      <c r="A33" s="9" t="n"/>
      <c r="B33" s="9" t="n"/>
      <c r="C33" s="33" t="n"/>
      <c r="D33" s="33" t="n"/>
      <c r="E33" s="9" t="n"/>
      <c r="F33" s="9" t="n"/>
      <c r="G33" s="9" t="n"/>
      <c r="H33" s="33" t="n"/>
      <c r="I33" s="39">
        <f>IF(AND(C33&gt;0,H33&gt;0),H33*12/(C33*900),"")</f>
        <v/>
      </c>
      <c r="J33" s="9" t="n"/>
      <c r="K33" s="9" t="n"/>
      <c r="L33" s="9" t="n"/>
      <c r="M33" s="9" t="n"/>
      <c r="N33" s="9" t="n"/>
      <c r="O33" s="9" t="n"/>
      <c r="P33" s="40">
        <f>IF(COUNT(J33:M33)=4,ROUND(AVERAGE(J33:M33),1),"")</f>
        <v/>
      </c>
    </row>
    <row r="34">
      <c r="A34" s="11" t="n"/>
      <c r="B34" s="11" t="n"/>
      <c r="C34" s="36" t="n"/>
      <c r="D34" s="36" t="n"/>
      <c r="E34" s="11" t="n"/>
      <c r="F34" s="11" t="n"/>
      <c r="G34" s="11" t="n"/>
      <c r="H34" s="36" t="n"/>
      <c r="I34" s="41">
        <f>IF(AND(C34&gt;0,H34&gt;0),H34*12/(C34*900),"")</f>
        <v/>
      </c>
      <c r="J34" s="11" t="n"/>
      <c r="K34" s="11" t="n"/>
      <c r="L34" s="11" t="n"/>
      <c r="M34" s="11" t="n"/>
      <c r="N34" s="11" t="n"/>
      <c r="O34" s="11" t="n"/>
      <c r="P34" s="42">
        <f>IF(COUNT(J34:M34)=4,ROUND(AVERAGE(J34:M34),1),"")</f>
        <v/>
      </c>
    </row>
    <row r="35">
      <c r="A35" s="9" t="n"/>
      <c r="B35" s="9" t="n"/>
      <c r="C35" s="33" t="n"/>
      <c r="D35" s="33" t="n"/>
      <c r="E35" s="9" t="n"/>
      <c r="F35" s="9" t="n"/>
      <c r="G35" s="9" t="n"/>
      <c r="H35" s="33" t="n"/>
      <c r="I35" s="39">
        <f>IF(AND(C35&gt;0,H35&gt;0),H35*12/(C35*900),"")</f>
        <v/>
      </c>
      <c r="J35" s="9" t="n"/>
      <c r="K35" s="9" t="n"/>
      <c r="L35" s="9" t="n"/>
      <c r="M35" s="9" t="n"/>
      <c r="N35" s="9" t="n"/>
      <c r="O35" s="9" t="n"/>
      <c r="P35" s="40">
        <f>IF(COUNT(J35:M35)=4,ROUND(AVERAGE(J35:M35),1),"")</f>
        <v/>
      </c>
    </row>
    <row r="36">
      <c r="A36" s="11" t="n"/>
      <c r="B36" s="11" t="n"/>
      <c r="C36" s="36" t="n"/>
      <c r="D36" s="36" t="n"/>
      <c r="E36" s="11" t="n"/>
      <c r="F36" s="11" t="n"/>
      <c r="G36" s="11" t="n"/>
      <c r="H36" s="36" t="n"/>
      <c r="I36" s="41">
        <f>IF(AND(C36&gt;0,H36&gt;0),H36*12/(C36*900),"")</f>
        <v/>
      </c>
      <c r="J36" s="11" t="n"/>
      <c r="K36" s="11" t="n"/>
      <c r="L36" s="11" t="n"/>
      <c r="M36" s="11" t="n"/>
      <c r="N36" s="11" t="n"/>
      <c r="O36" s="11" t="n"/>
      <c r="P36" s="42">
        <f>IF(COUNT(J36:M36)=4,ROUND(AVERAGE(J36:M36),1),"")</f>
        <v/>
      </c>
    </row>
    <row r="37">
      <c r="A37" s="9" t="n"/>
      <c r="B37" s="9" t="n"/>
      <c r="C37" s="33" t="n"/>
      <c r="D37" s="33" t="n"/>
      <c r="E37" s="9" t="n"/>
      <c r="F37" s="9" t="n"/>
      <c r="G37" s="9" t="n"/>
      <c r="H37" s="33" t="n"/>
      <c r="I37" s="39">
        <f>IF(AND(C37&gt;0,H37&gt;0),H37*12/(C37*900),"")</f>
        <v/>
      </c>
      <c r="J37" s="9" t="n"/>
      <c r="K37" s="9" t="n"/>
      <c r="L37" s="9" t="n"/>
      <c r="M37" s="9" t="n"/>
      <c r="N37" s="9" t="n"/>
      <c r="O37" s="9" t="n"/>
      <c r="P37" s="40">
        <f>IF(COUNT(J37:M37)=4,ROUND(AVERAGE(J37:M37),1),"")</f>
        <v/>
      </c>
    </row>
    <row r="38">
      <c r="A38" s="11" t="n"/>
      <c r="B38" s="11" t="n"/>
      <c r="C38" s="36" t="n"/>
      <c r="D38" s="36" t="n"/>
      <c r="E38" s="11" t="n"/>
      <c r="F38" s="11" t="n"/>
      <c r="G38" s="11" t="n"/>
      <c r="H38" s="36" t="n"/>
      <c r="I38" s="41">
        <f>IF(AND(C38&gt;0,H38&gt;0),H38*12/(C38*900),"")</f>
        <v/>
      </c>
      <c r="J38" s="11" t="n"/>
      <c r="K38" s="11" t="n"/>
      <c r="L38" s="11" t="n"/>
      <c r="M38" s="11" t="n"/>
      <c r="N38" s="11" t="n"/>
      <c r="O38" s="11" t="n"/>
      <c r="P38" s="42">
        <f>IF(COUNT(J38:M38)=4,ROUND(AVERAGE(J38:M38),1),"")</f>
        <v/>
      </c>
    </row>
    <row r="39">
      <c r="A39" s="9" t="n"/>
      <c r="B39" s="9" t="n"/>
      <c r="C39" s="33" t="n"/>
      <c r="D39" s="33" t="n"/>
      <c r="E39" s="9" t="n"/>
      <c r="F39" s="9" t="n"/>
      <c r="G39" s="9" t="n"/>
      <c r="H39" s="33" t="n"/>
      <c r="I39" s="39">
        <f>IF(AND(C39&gt;0,H39&gt;0),H39*12/(C39*900),"")</f>
        <v/>
      </c>
      <c r="J39" s="9" t="n"/>
      <c r="K39" s="9" t="n"/>
      <c r="L39" s="9" t="n"/>
      <c r="M39" s="9" t="n"/>
      <c r="N39" s="9" t="n"/>
      <c r="O39" s="9" t="n"/>
      <c r="P39" s="40">
        <f>IF(COUNT(J39:M39)=4,ROUND(AVERAGE(J39:M39),1),"")</f>
        <v/>
      </c>
    </row>
    <row r="40">
      <c r="A40" s="11" t="n"/>
      <c r="B40" s="11" t="n"/>
      <c r="C40" s="36" t="n"/>
      <c r="D40" s="36" t="n"/>
      <c r="E40" s="11" t="n"/>
      <c r="F40" s="11" t="n"/>
      <c r="G40" s="11" t="n"/>
      <c r="H40" s="36" t="n"/>
      <c r="I40" s="41">
        <f>IF(AND(C40&gt;0,H40&gt;0),H40*12/(C40*900),"")</f>
        <v/>
      </c>
      <c r="J40" s="11" t="n"/>
      <c r="K40" s="11" t="n"/>
      <c r="L40" s="11" t="n"/>
      <c r="M40" s="11" t="n"/>
      <c r="N40" s="11" t="n"/>
      <c r="O40" s="11" t="n"/>
      <c r="P40" s="42">
        <f>IF(COUNT(J40:M40)=4,ROUND(AVERAGE(J40:M40),1),"")</f>
        <v/>
      </c>
    </row>
    <row r="41">
      <c r="A41" s="9" t="n"/>
      <c r="B41" s="9" t="n"/>
      <c r="C41" s="33" t="n"/>
      <c r="D41" s="33" t="n"/>
      <c r="E41" s="9" t="n"/>
      <c r="F41" s="9" t="n"/>
      <c r="G41" s="9" t="n"/>
      <c r="H41" s="33" t="n"/>
      <c r="I41" s="39">
        <f>IF(AND(C41&gt;0,H41&gt;0),H41*12/(C41*900),"")</f>
        <v/>
      </c>
      <c r="J41" s="9" t="n"/>
      <c r="K41" s="9" t="n"/>
      <c r="L41" s="9" t="n"/>
      <c r="M41" s="9" t="n"/>
      <c r="N41" s="9" t="n"/>
      <c r="O41" s="9" t="n"/>
      <c r="P41" s="40">
        <f>IF(COUNT(J41:M41)=4,ROUND(AVERAGE(J41:M41),1),"")</f>
        <v/>
      </c>
    </row>
    <row r="42">
      <c r="A42" s="11" t="n"/>
      <c r="B42" s="11" t="n"/>
      <c r="C42" s="36" t="n"/>
      <c r="D42" s="36" t="n"/>
      <c r="E42" s="11" t="n"/>
      <c r="F42" s="11" t="n"/>
      <c r="G42" s="11" t="n"/>
      <c r="H42" s="36" t="n"/>
      <c r="I42" s="41">
        <f>IF(AND(C42&gt;0,H42&gt;0),H42*12/(C42*900),"")</f>
        <v/>
      </c>
      <c r="J42" s="11" t="n"/>
      <c r="K42" s="11" t="n"/>
      <c r="L42" s="11" t="n"/>
      <c r="M42" s="11" t="n"/>
      <c r="N42" s="11" t="n"/>
      <c r="O42" s="11" t="n"/>
      <c r="P42" s="42">
        <f>IF(COUNT(J42:M42)=4,ROUND(AVERAGE(J42:M42),1),"")</f>
        <v/>
      </c>
    </row>
    <row r="43">
      <c r="A43" s="9" t="n"/>
      <c r="B43" s="9" t="n"/>
      <c r="C43" s="33" t="n"/>
      <c r="D43" s="33" t="n"/>
      <c r="E43" s="9" t="n"/>
      <c r="F43" s="9" t="n"/>
      <c r="G43" s="9" t="n"/>
      <c r="H43" s="33" t="n"/>
      <c r="I43" s="39">
        <f>IF(AND(C43&gt;0,H43&gt;0),H43*12/(C43*900),"")</f>
        <v/>
      </c>
      <c r="J43" s="9" t="n"/>
      <c r="K43" s="9" t="n"/>
      <c r="L43" s="9" t="n"/>
      <c r="M43" s="9" t="n"/>
      <c r="N43" s="9" t="n"/>
      <c r="O43" s="9" t="n"/>
      <c r="P43" s="40">
        <f>IF(COUNT(J43:M43)=4,ROUND(AVERAGE(J43:M43),1),"")</f>
        <v/>
      </c>
    </row>
    <row r="44">
      <c r="A44" s="11" t="n"/>
      <c r="B44" s="11" t="n"/>
      <c r="C44" s="36" t="n"/>
      <c r="D44" s="36" t="n"/>
      <c r="E44" s="11" t="n"/>
      <c r="F44" s="11" t="n"/>
      <c r="G44" s="11" t="n"/>
      <c r="H44" s="36" t="n"/>
      <c r="I44" s="41">
        <f>IF(AND(C44&gt;0,H44&gt;0),H44*12/(C44*900),"")</f>
        <v/>
      </c>
      <c r="J44" s="11" t="n"/>
      <c r="K44" s="11" t="n"/>
      <c r="L44" s="11" t="n"/>
      <c r="M44" s="11" t="n"/>
      <c r="N44" s="11" t="n"/>
      <c r="O44" s="11" t="n"/>
      <c r="P44" s="42">
        <f>IF(COUNT(J44:M44)=4,ROUND(AVERAGE(J44:M44),1),"")</f>
        <v/>
      </c>
    </row>
    <row r="45">
      <c r="A45" s="9" t="n"/>
      <c r="B45" s="9" t="n"/>
      <c r="C45" s="33" t="n"/>
      <c r="D45" s="33" t="n"/>
      <c r="E45" s="9" t="n"/>
      <c r="F45" s="9" t="n"/>
      <c r="G45" s="9" t="n"/>
      <c r="H45" s="33" t="n"/>
      <c r="I45" s="39">
        <f>IF(AND(C45&gt;0,H45&gt;0),H45*12/(C45*900),"")</f>
        <v/>
      </c>
      <c r="J45" s="9" t="n"/>
      <c r="K45" s="9" t="n"/>
      <c r="L45" s="9" t="n"/>
      <c r="M45" s="9" t="n"/>
      <c r="N45" s="9" t="n"/>
      <c r="O45" s="9" t="n"/>
      <c r="P45" s="40">
        <f>IF(COUNT(J45:M45)=4,ROUND(AVERAGE(J45:M45),1),"")</f>
        <v/>
      </c>
    </row>
    <row r="46">
      <c r="A46" s="11" t="n"/>
      <c r="B46" s="11" t="n"/>
      <c r="C46" s="36" t="n"/>
      <c r="D46" s="36" t="n"/>
      <c r="E46" s="11" t="n"/>
      <c r="F46" s="11" t="n"/>
      <c r="G46" s="11" t="n"/>
      <c r="H46" s="36" t="n"/>
      <c r="I46" s="41">
        <f>IF(AND(C46&gt;0,H46&gt;0),H46*12/(C46*900),"")</f>
        <v/>
      </c>
      <c r="J46" s="11" t="n"/>
      <c r="K46" s="11" t="n"/>
      <c r="L46" s="11" t="n"/>
      <c r="M46" s="11" t="n"/>
      <c r="N46" s="11" t="n"/>
      <c r="O46" s="11" t="n"/>
      <c r="P46" s="42">
        <f>IF(COUNT(J46:M46)=4,ROUND(AVERAGE(J46:M46),1),"")</f>
        <v/>
      </c>
    </row>
    <row r="47">
      <c r="A47" s="9" t="n"/>
      <c r="B47" s="9" t="n"/>
      <c r="C47" s="33" t="n"/>
      <c r="D47" s="33" t="n"/>
      <c r="E47" s="9" t="n"/>
      <c r="F47" s="9" t="n"/>
      <c r="G47" s="9" t="n"/>
      <c r="H47" s="33" t="n"/>
      <c r="I47" s="39">
        <f>IF(AND(C47&gt;0,H47&gt;0),H47*12/(C47*900),"")</f>
        <v/>
      </c>
      <c r="J47" s="9" t="n"/>
      <c r="K47" s="9" t="n"/>
      <c r="L47" s="9" t="n"/>
      <c r="M47" s="9" t="n"/>
      <c r="N47" s="9" t="n"/>
      <c r="O47" s="9" t="n"/>
      <c r="P47" s="40">
        <f>IF(COUNT(J47:M47)=4,ROUND(AVERAGE(J47:M47),1),"")</f>
        <v/>
      </c>
    </row>
    <row r="48">
      <c r="A48" s="11" t="n"/>
      <c r="B48" s="11" t="n"/>
      <c r="C48" s="36" t="n"/>
      <c r="D48" s="36" t="n"/>
      <c r="E48" s="11" t="n"/>
      <c r="F48" s="11" t="n"/>
      <c r="G48" s="11" t="n"/>
      <c r="H48" s="36" t="n"/>
      <c r="I48" s="41">
        <f>IF(AND(C48&gt;0,H48&gt;0),H48*12/(C48*900),"")</f>
        <v/>
      </c>
      <c r="J48" s="11" t="n"/>
      <c r="K48" s="11" t="n"/>
      <c r="L48" s="11" t="n"/>
      <c r="M48" s="11" t="n"/>
      <c r="N48" s="11" t="n"/>
      <c r="O48" s="11" t="n"/>
      <c r="P48" s="42">
        <f>IF(COUNT(J48:M48)=4,ROUND(AVERAGE(J48:M48),1),"")</f>
        <v/>
      </c>
    </row>
    <row r="49">
      <c r="A49" s="9" t="n"/>
      <c r="B49" s="9" t="n"/>
      <c r="C49" s="33" t="n"/>
      <c r="D49" s="33" t="n"/>
      <c r="E49" s="9" t="n"/>
      <c r="F49" s="9" t="n"/>
      <c r="G49" s="9" t="n"/>
      <c r="H49" s="33" t="n"/>
      <c r="I49" s="39">
        <f>IF(AND(C49&gt;0,H49&gt;0),H49*12/(C49*900),"")</f>
        <v/>
      </c>
      <c r="J49" s="9" t="n"/>
      <c r="K49" s="9" t="n"/>
      <c r="L49" s="9" t="n"/>
      <c r="M49" s="9" t="n"/>
      <c r="N49" s="9" t="n"/>
      <c r="O49" s="9" t="n"/>
      <c r="P49" s="40">
        <f>IF(COUNT(J49:M49)=4,ROUND(AVERAGE(J49:M49),1),"")</f>
        <v/>
      </c>
    </row>
    <row r="50">
      <c r="A50" s="11" t="n"/>
      <c r="B50" s="11" t="n"/>
      <c r="C50" s="36" t="n"/>
      <c r="D50" s="36" t="n"/>
      <c r="E50" s="11" t="n"/>
      <c r="F50" s="11" t="n"/>
      <c r="G50" s="11" t="n"/>
      <c r="H50" s="36" t="n"/>
      <c r="I50" s="41">
        <f>IF(AND(C50&gt;0,H50&gt;0),H50*12/(C50*900),"")</f>
        <v/>
      </c>
      <c r="J50" s="11" t="n"/>
      <c r="K50" s="11" t="n"/>
      <c r="L50" s="11" t="n"/>
      <c r="M50" s="11" t="n"/>
      <c r="N50" s="11" t="n"/>
      <c r="O50" s="11" t="n"/>
      <c r="P50" s="42">
        <f>IF(COUNT(J50:M50)=4,ROUND(AVERAGE(J50:M50),1),"")</f>
        <v/>
      </c>
    </row>
    <row r="51">
      <c r="A51" s="9" t="n"/>
      <c r="B51" s="9" t="n"/>
      <c r="C51" s="33" t="n"/>
      <c r="D51" s="33" t="n"/>
      <c r="E51" s="9" t="n"/>
      <c r="F51" s="9" t="n"/>
      <c r="G51" s="9" t="n"/>
      <c r="H51" s="33" t="n"/>
      <c r="I51" s="39">
        <f>IF(AND(C51&gt;0,H51&gt;0),H51*12/(C51*900),"")</f>
        <v/>
      </c>
      <c r="J51" s="9" t="n"/>
      <c r="K51" s="9" t="n"/>
      <c r="L51" s="9" t="n"/>
      <c r="M51" s="9" t="n"/>
      <c r="N51" s="9" t="n"/>
      <c r="O51" s="9" t="n"/>
      <c r="P51" s="40">
        <f>IF(COUNT(J51:M51)=4,ROUND(AVERAGE(J51:M51),1),"")</f>
        <v/>
      </c>
    </row>
    <row r="52">
      <c r="A52" s="11" t="n"/>
      <c r="B52" s="11" t="n"/>
      <c r="C52" s="36" t="n"/>
      <c r="D52" s="36" t="n"/>
      <c r="E52" s="11" t="n"/>
      <c r="F52" s="11" t="n"/>
      <c r="G52" s="11" t="n"/>
      <c r="H52" s="36" t="n"/>
      <c r="I52" s="41">
        <f>IF(AND(C52&gt;0,H52&gt;0),H52*12/(C52*900),"")</f>
        <v/>
      </c>
      <c r="J52" s="11" t="n"/>
      <c r="K52" s="11" t="n"/>
      <c r="L52" s="11" t="n"/>
      <c r="M52" s="11" t="n"/>
      <c r="N52" s="11" t="n"/>
      <c r="O52" s="11" t="n"/>
      <c r="P52" s="42">
        <f>IF(COUNT(J52:M52)=4,ROUND(AVERAGE(J52:M52),1),"")</f>
        <v/>
      </c>
    </row>
    <row r="53">
      <c r="A53" s="9" t="n"/>
      <c r="B53" s="9" t="n"/>
      <c r="C53" s="33" t="n"/>
      <c r="D53" s="33" t="n"/>
      <c r="E53" s="9" t="n"/>
      <c r="F53" s="9" t="n"/>
      <c r="G53" s="9" t="n"/>
      <c r="H53" s="33" t="n"/>
      <c r="I53" s="39">
        <f>IF(AND(C53&gt;0,H53&gt;0),H53*12/(C53*900),"")</f>
        <v/>
      </c>
      <c r="J53" s="9" t="n"/>
      <c r="K53" s="9" t="n"/>
      <c r="L53" s="9" t="n"/>
      <c r="M53" s="9" t="n"/>
      <c r="N53" s="9" t="n"/>
      <c r="O53" s="9" t="n"/>
      <c r="P53" s="40">
        <f>IF(COUNT(J53:M53)=4,ROUND(AVERAGE(J53:M53),1),"")</f>
        <v/>
      </c>
    </row>
    <row r="54">
      <c r="A54" s="11" t="n"/>
      <c r="B54" s="11" t="n"/>
      <c r="C54" s="36" t="n"/>
      <c r="D54" s="36" t="n"/>
      <c r="E54" s="11" t="n"/>
      <c r="F54" s="11" t="n"/>
      <c r="G54" s="11" t="n"/>
      <c r="H54" s="36" t="n"/>
      <c r="I54" s="41">
        <f>IF(AND(C54&gt;0,H54&gt;0),H54*12/(C54*900),"")</f>
        <v/>
      </c>
      <c r="J54" s="11" t="n"/>
      <c r="K54" s="11" t="n"/>
      <c r="L54" s="11" t="n"/>
      <c r="M54" s="11" t="n"/>
      <c r="N54" s="11" t="n"/>
      <c r="O54" s="11" t="n"/>
      <c r="P54" s="42">
        <f>IF(COUNT(J54:M54)=4,ROUND(AVERAGE(J54:M54),1),"")</f>
        <v/>
      </c>
    </row>
    <row r="55">
      <c r="A55" s="9" t="n"/>
      <c r="B55" s="9" t="n"/>
      <c r="C55" s="33" t="n"/>
      <c r="D55" s="33" t="n"/>
      <c r="E55" s="9" t="n"/>
      <c r="F55" s="9" t="n"/>
      <c r="G55" s="9" t="n"/>
      <c r="H55" s="33" t="n"/>
      <c r="I55" s="39">
        <f>IF(AND(C55&gt;0,H55&gt;0),H55*12/(C55*900),"")</f>
        <v/>
      </c>
      <c r="J55" s="9" t="n"/>
      <c r="K55" s="9" t="n"/>
      <c r="L55" s="9" t="n"/>
      <c r="M55" s="9" t="n"/>
      <c r="N55" s="9" t="n"/>
      <c r="O55" s="9" t="n"/>
      <c r="P55" s="40">
        <f>IF(COUNT(J55:M55)=4,ROUND(AVERAGE(J55:M55),1),"")</f>
        <v/>
      </c>
    </row>
    <row r="56">
      <c r="A56" s="11" t="n"/>
      <c r="B56" s="11" t="n"/>
      <c r="C56" s="36" t="n"/>
      <c r="D56" s="36" t="n"/>
      <c r="E56" s="11" t="n"/>
      <c r="F56" s="11" t="n"/>
      <c r="G56" s="11" t="n"/>
      <c r="H56" s="36" t="n"/>
      <c r="I56" s="41">
        <f>IF(AND(C56&gt;0,H56&gt;0),H56*12/(C56*900),"")</f>
        <v/>
      </c>
      <c r="J56" s="11" t="n"/>
      <c r="K56" s="11" t="n"/>
      <c r="L56" s="11" t="n"/>
      <c r="M56" s="11" t="n"/>
      <c r="N56" s="11" t="n"/>
      <c r="O56" s="11" t="n"/>
      <c r="P56" s="42">
        <f>IF(COUNT(J56:M56)=4,ROUND(AVERAGE(J56:M56),1),"")</f>
        <v/>
      </c>
    </row>
    <row r="57">
      <c r="A57" s="9" t="n"/>
      <c r="B57" s="9" t="n"/>
      <c r="C57" s="33" t="n"/>
      <c r="D57" s="33" t="n"/>
      <c r="E57" s="9" t="n"/>
      <c r="F57" s="9" t="n"/>
      <c r="G57" s="9" t="n"/>
      <c r="H57" s="33" t="n"/>
      <c r="I57" s="39">
        <f>IF(AND(C57&gt;0,H57&gt;0),H57*12/(C57*900),"")</f>
        <v/>
      </c>
      <c r="J57" s="9" t="n"/>
      <c r="K57" s="9" t="n"/>
      <c r="L57" s="9" t="n"/>
      <c r="M57" s="9" t="n"/>
      <c r="N57" s="9" t="n"/>
      <c r="O57" s="9" t="n"/>
      <c r="P57" s="40">
        <f>IF(COUNT(J57:M57)=4,ROUND(AVERAGE(J57:M57),1),"")</f>
        <v/>
      </c>
    </row>
    <row r="58">
      <c r="A58" s="11" t="n"/>
      <c r="B58" s="11" t="n"/>
      <c r="C58" s="36" t="n"/>
      <c r="D58" s="36" t="n"/>
      <c r="E58" s="11" t="n"/>
      <c r="F58" s="11" t="n"/>
      <c r="G58" s="11" t="n"/>
      <c r="H58" s="36" t="n"/>
      <c r="I58" s="41">
        <f>IF(AND(C58&gt;0,H58&gt;0),H58*12/(C58*900),"")</f>
        <v/>
      </c>
      <c r="J58" s="11" t="n"/>
      <c r="K58" s="11" t="n"/>
      <c r="L58" s="11" t="n"/>
      <c r="M58" s="11" t="n"/>
      <c r="N58" s="11" t="n"/>
      <c r="O58" s="11" t="n"/>
      <c r="P58" s="42">
        <f>IF(COUNT(J58:M58)=4,ROUND(AVERAGE(J58:M58),1),"")</f>
        <v/>
      </c>
    </row>
    <row r="59">
      <c r="A59" s="9" t="n"/>
      <c r="B59" s="9" t="n"/>
      <c r="C59" s="33" t="n"/>
      <c r="D59" s="33" t="n"/>
      <c r="E59" s="9" t="n"/>
      <c r="F59" s="9" t="n"/>
      <c r="G59" s="9" t="n"/>
      <c r="H59" s="33" t="n"/>
      <c r="I59" s="39">
        <f>IF(AND(C59&gt;0,H59&gt;0),H59*12/(C59*900),"")</f>
        <v/>
      </c>
      <c r="J59" s="9" t="n"/>
      <c r="K59" s="9" t="n"/>
      <c r="L59" s="9" t="n"/>
      <c r="M59" s="9" t="n"/>
      <c r="N59" s="9" t="n"/>
      <c r="O59" s="9" t="n"/>
      <c r="P59" s="40">
        <f>IF(COUNT(J59:M59)=4,ROUND(AVERAGE(J59:M59),1),"")</f>
        <v/>
      </c>
    </row>
    <row r="60">
      <c r="A60" s="11" t="n"/>
      <c r="B60" s="11" t="n"/>
      <c r="C60" s="36" t="n"/>
      <c r="D60" s="36" t="n"/>
      <c r="E60" s="11" t="n"/>
      <c r="F60" s="11" t="n"/>
      <c r="G60" s="11" t="n"/>
      <c r="H60" s="36" t="n"/>
      <c r="I60" s="41">
        <f>IF(AND(C60&gt;0,H60&gt;0),H60*12/(C60*900),"")</f>
        <v/>
      </c>
      <c r="J60" s="11" t="n"/>
      <c r="K60" s="11" t="n"/>
      <c r="L60" s="11" t="n"/>
      <c r="M60" s="11" t="n"/>
      <c r="N60" s="11" t="n"/>
      <c r="O60" s="11" t="n"/>
      <c r="P60" s="42">
        <f>IF(COUNT(J60:M60)=4,ROUND(AVERAGE(J60:M60),1),"")</f>
        <v/>
      </c>
    </row>
    <row r="61">
      <c r="A61" s="9" t="n"/>
      <c r="B61" s="9" t="n"/>
      <c r="C61" s="33" t="n"/>
      <c r="D61" s="33" t="n"/>
      <c r="E61" s="9" t="n"/>
      <c r="F61" s="9" t="n"/>
      <c r="G61" s="9" t="n"/>
      <c r="H61" s="33" t="n"/>
      <c r="I61" s="39">
        <f>IF(AND(C61&gt;0,H61&gt;0),H61*12/(C61*900),"")</f>
        <v/>
      </c>
      <c r="J61" s="9" t="n"/>
      <c r="K61" s="9" t="n"/>
      <c r="L61" s="9" t="n"/>
      <c r="M61" s="9" t="n"/>
      <c r="N61" s="9" t="n"/>
      <c r="O61" s="9" t="n"/>
      <c r="P61" s="40">
        <f>IF(COUNT(J61:M61)=4,ROUND(AVERAGE(J61:M61),1),"")</f>
        <v/>
      </c>
    </row>
    <row r="62">
      <c r="A62" s="11" t="n"/>
      <c r="B62" s="11" t="n"/>
      <c r="C62" s="36" t="n"/>
      <c r="D62" s="36" t="n"/>
      <c r="E62" s="11" t="n"/>
      <c r="F62" s="11" t="n"/>
      <c r="G62" s="11" t="n"/>
      <c r="H62" s="36" t="n"/>
      <c r="I62" s="41">
        <f>IF(AND(C62&gt;0,H62&gt;0),H62*12/(C62*900),"")</f>
        <v/>
      </c>
      <c r="J62" s="11" t="n"/>
      <c r="K62" s="11" t="n"/>
      <c r="L62" s="11" t="n"/>
      <c r="M62" s="11" t="n"/>
      <c r="N62" s="11" t="n"/>
      <c r="O62" s="11" t="n"/>
      <c r="P62" s="42">
        <f>IF(COUNT(J62:M62)=4,ROUND(AVERAGE(J62:M62),1),"")</f>
        <v/>
      </c>
    </row>
    <row r="63">
      <c r="A63" s="9" t="n"/>
      <c r="B63" s="9" t="n"/>
      <c r="C63" s="33" t="n"/>
      <c r="D63" s="33" t="n"/>
      <c r="E63" s="9" t="n"/>
      <c r="F63" s="9" t="n"/>
      <c r="G63" s="9" t="n"/>
      <c r="H63" s="33" t="n"/>
      <c r="I63" s="39">
        <f>IF(AND(C63&gt;0,H63&gt;0),H63*12/(C63*900),"")</f>
        <v/>
      </c>
      <c r="J63" s="9" t="n"/>
      <c r="K63" s="9" t="n"/>
      <c r="L63" s="9" t="n"/>
      <c r="M63" s="9" t="n"/>
      <c r="N63" s="9" t="n"/>
      <c r="O63" s="9" t="n"/>
      <c r="P63" s="40">
        <f>IF(COUNT(J63:M63)=4,ROUND(AVERAGE(J63:M63),1),"")</f>
        <v/>
      </c>
    </row>
    <row r="64">
      <c r="A64" s="11" t="n"/>
      <c r="B64" s="11" t="n"/>
      <c r="C64" s="36" t="n"/>
      <c r="D64" s="36" t="n"/>
      <c r="E64" s="11" t="n"/>
      <c r="F64" s="11" t="n"/>
      <c r="G64" s="11" t="n"/>
      <c r="H64" s="36" t="n"/>
      <c r="I64" s="41">
        <f>IF(AND(C64&gt;0,H64&gt;0),H64*12/(C64*900),"")</f>
        <v/>
      </c>
      <c r="J64" s="11" t="n"/>
      <c r="K64" s="11" t="n"/>
      <c r="L64" s="11" t="n"/>
      <c r="M64" s="11" t="n"/>
      <c r="N64" s="11" t="n"/>
      <c r="O64" s="11" t="n"/>
      <c r="P64" s="42">
        <f>IF(COUNT(J64:M64)=4,ROUND(AVERAGE(J64:M64),1),"")</f>
        <v/>
      </c>
    </row>
    <row r="65">
      <c r="A65" s="9" t="n"/>
      <c r="B65" s="9" t="n"/>
      <c r="C65" s="33" t="n"/>
      <c r="D65" s="33" t="n"/>
      <c r="E65" s="9" t="n"/>
      <c r="F65" s="9" t="n"/>
      <c r="G65" s="9" t="n"/>
      <c r="H65" s="33" t="n"/>
      <c r="I65" s="39">
        <f>IF(AND(C65&gt;0,H65&gt;0),H65*12/(C65*900),"")</f>
        <v/>
      </c>
      <c r="J65" s="9" t="n"/>
      <c r="K65" s="9" t="n"/>
      <c r="L65" s="9" t="n"/>
      <c r="M65" s="9" t="n"/>
      <c r="N65" s="9" t="n"/>
      <c r="O65" s="9" t="n"/>
      <c r="P65" s="40">
        <f>IF(COUNT(J65:M65)=4,ROUND(AVERAGE(J65:M65),1),"")</f>
        <v/>
      </c>
    </row>
    <row r="66">
      <c r="A66" s="11" t="n"/>
      <c r="B66" s="11" t="n"/>
      <c r="C66" s="36" t="n"/>
      <c r="D66" s="36" t="n"/>
      <c r="E66" s="11" t="n"/>
      <c r="F66" s="11" t="n"/>
      <c r="G66" s="11" t="n"/>
      <c r="H66" s="36" t="n"/>
      <c r="I66" s="41">
        <f>IF(AND(C66&gt;0,H66&gt;0),H66*12/(C66*900),"")</f>
        <v/>
      </c>
      <c r="J66" s="11" t="n"/>
      <c r="K66" s="11" t="n"/>
      <c r="L66" s="11" t="n"/>
      <c r="M66" s="11" t="n"/>
      <c r="N66" s="11" t="n"/>
      <c r="O66" s="11" t="n"/>
      <c r="P66" s="42">
        <f>IF(COUNT(J66:M66)=4,ROUND(AVERAGE(J66:M66),1),"")</f>
        <v/>
      </c>
    </row>
    <row r="67">
      <c r="A67" s="9" t="n"/>
      <c r="B67" s="9" t="n"/>
      <c r="C67" s="33" t="n"/>
      <c r="D67" s="33" t="n"/>
      <c r="E67" s="9" t="n"/>
      <c r="F67" s="9" t="n"/>
      <c r="G67" s="9" t="n"/>
      <c r="H67" s="33" t="n"/>
      <c r="I67" s="39">
        <f>IF(AND(C67&gt;0,H67&gt;0),H67*12/(C67*900),"")</f>
        <v/>
      </c>
      <c r="J67" s="9" t="n"/>
      <c r="K67" s="9" t="n"/>
      <c r="L67" s="9" t="n"/>
      <c r="M67" s="9" t="n"/>
      <c r="N67" s="9" t="n"/>
      <c r="O67" s="9" t="n"/>
      <c r="P67" s="40">
        <f>IF(COUNT(J67:M67)=4,ROUND(AVERAGE(J67:M67),1),"")</f>
        <v/>
      </c>
    </row>
    <row r="68">
      <c r="A68" s="11" t="n"/>
      <c r="B68" s="11" t="n"/>
      <c r="C68" s="36" t="n"/>
      <c r="D68" s="36" t="n"/>
      <c r="E68" s="11" t="n"/>
      <c r="F68" s="11" t="n"/>
      <c r="G68" s="11" t="n"/>
      <c r="H68" s="36" t="n"/>
      <c r="I68" s="41">
        <f>IF(AND(C68&gt;0,H68&gt;0),H68*12/(C68*900),"")</f>
        <v/>
      </c>
      <c r="J68" s="11" t="n"/>
      <c r="K68" s="11" t="n"/>
      <c r="L68" s="11" t="n"/>
      <c r="M68" s="11" t="n"/>
      <c r="N68" s="11" t="n"/>
      <c r="O68" s="11" t="n"/>
      <c r="P68" s="42">
        <f>IF(COUNT(J68:M68)=4,ROUND(AVERAGE(J68:M68),1),"")</f>
        <v/>
      </c>
    </row>
    <row r="69">
      <c r="A69" s="9" t="n"/>
      <c r="B69" s="9" t="n"/>
      <c r="C69" s="33" t="n"/>
      <c r="D69" s="33" t="n"/>
      <c r="E69" s="9" t="n"/>
      <c r="F69" s="9" t="n"/>
      <c r="G69" s="9" t="n"/>
      <c r="H69" s="33" t="n"/>
      <c r="I69" s="39">
        <f>IF(AND(C69&gt;0,H69&gt;0),H69*12/(C69*900),"")</f>
        <v/>
      </c>
      <c r="J69" s="9" t="n"/>
      <c r="K69" s="9" t="n"/>
      <c r="L69" s="9" t="n"/>
      <c r="M69" s="9" t="n"/>
      <c r="N69" s="9" t="n"/>
      <c r="O69" s="9" t="n"/>
      <c r="P69" s="40">
        <f>IF(COUNT(J69:M69)=4,ROUND(AVERAGE(J69:M69),1),"")</f>
        <v/>
      </c>
    </row>
    <row r="70">
      <c r="A70" s="11" t="n"/>
      <c r="B70" s="11" t="n"/>
      <c r="C70" s="36" t="n"/>
      <c r="D70" s="36" t="n"/>
      <c r="E70" s="11" t="n"/>
      <c r="F70" s="11" t="n"/>
      <c r="G70" s="11" t="n"/>
      <c r="H70" s="36" t="n"/>
      <c r="I70" s="41">
        <f>IF(AND(C70&gt;0,H70&gt;0),H70*12/(C70*900),"")</f>
        <v/>
      </c>
      <c r="J70" s="11" t="n"/>
      <c r="K70" s="11" t="n"/>
      <c r="L70" s="11" t="n"/>
      <c r="M70" s="11" t="n"/>
      <c r="N70" s="11" t="n"/>
      <c r="O70" s="11" t="n"/>
      <c r="P70" s="42">
        <f>IF(COUNT(J70:M70)=4,ROUND(AVERAGE(J70:M70),1),"")</f>
        <v/>
      </c>
    </row>
    <row r="71">
      <c r="A71" s="9" t="n"/>
      <c r="B71" s="9" t="n"/>
      <c r="C71" s="33" t="n"/>
      <c r="D71" s="33" t="n"/>
      <c r="E71" s="9" t="n"/>
      <c r="F71" s="9" t="n"/>
      <c r="G71" s="9" t="n"/>
      <c r="H71" s="33" t="n"/>
      <c r="I71" s="39">
        <f>IF(AND(C71&gt;0,H71&gt;0),H71*12/(C71*900),"")</f>
        <v/>
      </c>
      <c r="J71" s="9" t="n"/>
      <c r="K71" s="9" t="n"/>
      <c r="L71" s="9" t="n"/>
      <c r="M71" s="9" t="n"/>
      <c r="N71" s="9" t="n"/>
      <c r="O71" s="9" t="n"/>
      <c r="P71" s="40">
        <f>IF(COUNT(J71:M71)=4,ROUND(AVERAGE(J71:M71),1),"")</f>
        <v/>
      </c>
    </row>
    <row r="72">
      <c r="A72" s="11" t="n"/>
      <c r="B72" s="11" t="n"/>
      <c r="C72" s="36" t="n"/>
      <c r="D72" s="36" t="n"/>
      <c r="E72" s="11" t="n"/>
      <c r="F72" s="11" t="n"/>
      <c r="G72" s="11" t="n"/>
      <c r="H72" s="36" t="n"/>
      <c r="I72" s="41">
        <f>IF(AND(C72&gt;0,H72&gt;0),H72*12/(C72*900),"")</f>
        <v/>
      </c>
      <c r="J72" s="11" t="n"/>
      <c r="K72" s="11" t="n"/>
      <c r="L72" s="11" t="n"/>
      <c r="M72" s="11" t="n"/>
      <c r="N72" s="11" t="n"/>
      <c r="O72" s="11" t="n"/>
      <c r="P72" s="42">
        <f>IF(COUNT(J72:M72)=4,ROUND(AVERAGE(J72:M72),1),"")</f>
        <v/>
      </c>
    </row>
    <row r="73">
      <c r="A73" s="9" t="n"/>
      <c r="B73" s="9" t="n"/>
      <c r="C73" s="33" t="n"/>
      <c r="D73" s="33" t="n"/>
      <c r="E73" s="9" t="n"/>
      <c r="F73" s="9" t="n"/>
      <c r="G73" s="9" t="n"/>
      <c r="H73" s="33" t="n"/>
      <c r="I73" s="39">
        <f>IF(AND(C73&gt;0,H73&gt;0),H73*12/(C73*900),"")</f>
        <v/>
      </c>
      <c r="J73" s="9" t="n"/>
      <c r="K73" s="9" t="n"/>
      <c r="L73" s="9" t="n"/>
      <c r="M73" s="9" t="n"/>
      <c r="N73" s="9" t="n"/>
      <c r="O73" s="9" t="n"/>
      <c r="P73" s="40">
        <f>IF(COUNT(J73:M73)=4,ROUND(AVERAGE(J73:M73),1),"")</f>
        <v/>
      </c>
    </row>
    <row r="74">
      <c r="A74" s="11" t="n"/>
      <c r="B74" s="11" t="n"/>
      <c r="C74" s="36" t="n"/>
      <c r="D74" s="36" t="n"/>
      <c r="E74" s="11" t="n"/>
      <c r="F74" s="11" t="n"/>
      <c r="G74" s="11" t="n"/>
      <c r="H74" s="36" t="n"/>
      <c r="I74" s="41">
        <f>IF(AND(C74&gt;0,H74&gt;0),H74*12/(C74*900),"")</f>
        <v/>
      </c>
      <c r="J74" s="11" t="n"/>
      <c r="K74" s="11" t="n"/>
      <c r="L74" s="11" t="n"/>
      <c r="M74" s="11" t="n"/>
      <c r="N74" s="11" t="n"/>
      <c r="O74" s="11" t="n"/>
      <c r="P74" s="42">
        <f>IF(COUNT(J74:M74)=4,ROUND(AVERAGE(J74:M74),1),"")</f>
        <v/>
      </c>
    </row>
    <row r="75">
      <c r="A75" s="9" t="n"/>
      <c r="B75" s="9" t="n"/>
      <c r="C75" s="33" t="n"/>
      <c r="D75" s="33" t="n"/>
      <c r="E75" s="9" t="n"/>
      <c r="F75" s="9" t="n"/>
      <c r="G75" s="9" t="n"/>
      <c r="H75" s="33" t="n"/>
      <c r="I75" s="39">
        <f>IF(AND(C75&gt;0,H75&gt;0),H75*12/(C75*900),"")</f>
        <v/>
      </c>
      <c r="J75" s="9" t="n"/>
      <c r="K75" s="9" t="n"/>
      <c r="L75" s="9" t="n"/>
      <c r="M75" s="9" t="n"/>
      <c r="N75" s="9" t="n"/>
      <c r="O75" s="9" t="n"/>
      <c r="P75" s="40">
        <f>IF(COUNT(J75:M75)=4,ROUND(AVERAGE(J75:M75),1),"")</f>
        <v/>
      </c>
    </row>
    <row r="76">
      <c r="A76" s="11" t="n"/>
      <c r="B76" s="11" t="n"/>
      <c r="C76" s="36" t="n"/>
      <c r="D76" s="36" t="n"/>
      <c r="E76" s="11" t="n"/>
      <c r="F76" s="11" t="n"/>
      <c r="G76" s="11" t="n"/>
      <c r="H76" s="36" t="n"/>
      <c r="I76" s="41">
        <f>IF(AND(C76&gt;0,H76&gt;0),H76*12/(C76*900),"")</f>
        <v/>
      </c>
      <c r="J76" s="11" t="n"/>
      <c r="K76" s="11" t="n"/>
      <c r="L76" s="11" t="n"/>
      <c r="M76" s="11" t="n"/>
      <c r="N76" s="11" t="n"/>
      <c r="O76" s="11" t="n"/>
      <c r="P76" s="42">
        <f>IF(COUNT(J76:M76)=4,ROUND(AVERAGE(J76:M76),1),"")</f>
        <v/>
      </c>
    </row>
    <row r="77">
      <c r="A77" s="9" t="n"/>
      <c r="B77" s="9" t="n"/>
      <c r="C77" s="33" t="n"/>
      <c r="D77" s="33" t="n"/>
      <c r="E77" s="9" t="n"/>
      <c r="F77" s="9" t="n"/>
      <c r="G77" s="9" t="n"/>
      <c r="H77" s="33" t="n"/>
      <c r="I77" s="39">
        <f>IF(AND(C77&gt;0,H77&gt;0),H77*12/(C77*900),"")</f>
        <v/>
      </c>
      <c r="J77" s="9" t="n"/>
      <c r="K77" s="9" t="n"/>
      <c r="L77" s="9" t="n"/>
      <c r="M77" s="9" t="n"/>
      <c r="N77" s="9" t="n"/>
      <c r="O77" s="9" t="n"/>
      <c r="P77" s="40">
        <f>IF(COUNT(J77:M77)=4,ROUND(AVERAGE(J77:M77),1),"")</f>
        <v/>
      </c>
    </row>
    <row r="78">
      <c r="A78" s="11" t="n"/>
      <c r="B78" s="11" t="n"/>
      <c r="C78" s="36" t="n"/>
      <c r="D78" s="36" t="n"/>
      <c r="E78" s="11" t="n"/>
      <c r="F78" s="11" t="n"/>
      <c r="G78" s="11" t="n"/>
      <c r="H78" s="36" t="n"/>
      <c r="I78" s="41">
        <f>IF(AND(C78&gt;0,H78&gt;0),H78*12/(C78*900),"")</f>
        <v/>
      </c>
      <c r="J78" s="11" t="n"/>
      <c r="K78" s="11" t="n"/>
      <c r="L78" s="11" t="n"/>
      <c r="M78" s="11" t="n"/>
      <c r="N78" s="11" t="n"/>
      <c r="O78" s="11" t="n"/>
      <c r="P78" s="42">
        <f>IF(COUNT(J78:M78)=4,ROUND(AVERAGE(J78:M78),1),"")</f>
        <v/>
      </c>
    </row>
    <row r="79">
      <c r="A79" s="9" t="n"/>
      <c r="B79" s="9" t="n"/>
      <c r="C79" s="33" t="n"/>
      <c r="D79" s="33" t="n"/>
      <c r="E79" s="9" t="n"/>
      <c r="F79" s="9" t="n"/>
      <c r="G79" s="9" t="n"/>
      <c r="H79" s="33" t="n"/>
      <c r="I79" s="39">
        <f>IF(AND(C79&gt;0,H79&gt;0),H79*12/(C79*900),"")</f>
        <v/>
      </c>
      <c r="J79" s="9" t="n"/>
      <c r="K79" s="9" t="n"/>
      <c r="L79" s="9" t="n"/>
      <c r="M79" s="9" t="n"/>
      <c r="N79" s="9" t="n"/>
      <c r="O79" s="9" t="n"/>
      <c r="P79" s="40">
        <f>IF(COUNT(J79:M79)=4,ROUND(AVERAGE(J79:M79),1),"")</f>
        <v/>
      </c>
    </row>
    <row r="80">
      <c r="A80" s="11" t="n"/>
      <c r="B80" s="11" t="n"/>
      <c r="C80" s="36" t="n"/>
      <c r="D80" s="36" t="n"/>
      <c r="E80" s="11" t="n"/>
      <c r="F80" s="11" t="n"/>
      <c r="G80" s="11" t="n"/>
      <c r="H80" s="36" t="n"/>
      <c r="I80" s="41">
        <f>IF(AND(C80&gt;0,H80&gt;0),H80*12/(C80*900),"")</f>
        <v/>
      </c>
      <c r="J80" s="11" t="n"/>
      <c r="K80" s="11" t="n"/>
      <c r="L80" s="11" t="n"/>
      <c r="M80" s="11" t="n"/>
      <c r="N80" s="11" t="n"/>
      <c r="O80" s="11" t="n"/>
      <c r="P80" s="42">
        <f>IF(COUNT(J80:M80)=4,ROUND(AVERAGE(J80:M80),1),"")</f>
        <v/>
      </c>
    </row>
    <row r="81">
      <c r="A81" s="9" t="n"/>
      <c r="B81" s="9" t="n"/>
      <c r="C81" s="33" t="n"/>
      <c r="D81" s="33" t="n"/>
      <c r="E81" s="9" t="n"/>
      <c r="F81" s="9" t="n"/>
      <c r="G81" s="9" t="n"/>
      <c r="H81" s="33" t="n"/>
      <c r="I81" s="39">
        <f>IF(AND(C81&gt;0,H81&gt;0),H81*12/(C81*900),"")</f>
        <v/>
      </c>
      <c r="J81" s="9" t="n"/>
      <c r="K81" s="9" t="n"/>
      <c r="L81" s="9" t="n"/>
      <c r="M81" s="9" t="n"/>
      <c r="N81" s="9" t="n"/>
      <c r="O81" s="9" t="n"/>
      <c r="P81" s="40">
        <f>IF(COUNT(J81:M81)=4,ROUND(AVERAGE(J81:M81),1),"")</f>
        <v/>
      </c>
    </row>
    <row r="82">
      <c r="A82" s="11" t="n"/>
      <c r="B82" s="11" t="n"/>
      <c r="C82" s="36" t="n"/>
      <c r="D82" s="36" t="n"/>
      <c r="E82" s="11" t="n"/>
      <c r="F82" s="11" t="n"/>
      <c r="G82" s="11" t="n"/>
      <c r="H82" s="36" t="n"/>
      <c r="I82" s="41">
        <f>IF(AND(C82&gt;0,H82&gt;0),H82*12/(C82*900),"")</f>
        <v/>
      </c>
      <c r="J82" s="11" t="n"/>
      <c r="K82" s="11" t="n"/>
      <c r="L82" s="11" t="n"/>
      <c r="M82" s="11" t="n"/>
      <c r="N82" s="11" t="n"/>
      <c r="O82" s="11" t="n"/>
      <c r="P82" s="42">
        <f>IF(COUNT(J82:M82)=4,ROUND(AVERAGE(J82:M82),1),"")</f>
        <v/>
      </c>
    </row>
    <row r="83">
      <c r="A83" s="9" t="n"/>
      <c r="B83" s="9" t="n"/>
      <c r="C83" s="33" t="n"/>
      <c r="D83" s="33" t="n"/>
      <c r="E83" s="9" t="n"/>
      <c r="F83" s="9" t="n"/>
      <c r="G83" s="9" t="n"/>
      <c r="H83" s="33" t="n"/>
      <c r="I83" s="39">
        <f>IF(AND(C83&gt;0,H83&gt;0),H83*12/(C83*900),"")</f>
        <v/>
      </c>
      <c r="J83" s="9" t="n"/>
      <c r="K83" s="9" t="n"/>
      <c r="L83" s="9" t="n"/>
      <c r="M83" s="9" t="n"/>
      <c r="N83" s="9" t="n"/>
      <c r="O83" s="9" t="n"/>
      <c r="P83" s="40">
        <f>IF(COUNT(J83:M83)=4,ROUND(AVERAGE(J83:M83),1),"")</f>
        <v/>
      </c>
    </row>
    <row r="84">
      <c r="A84" s="11" t="n"/>
      <c r="B84" s="11" t="n"/>
      <c r="C84" s="36" t="n"/>
      <c r="D84" s="36" t="n"/>
      <c r="E84" s="11" t="n"/>
      <c r="F84" s="11" t="n"/>
      <c r="G84" s="11" t="n"/>
      <c r="H84" s="36" t="n"/>
      <c r="I84" s="41">
        <f>IF(AND(C84&gt;0,H84&gt;0),H84*12/(C84*900),"")</f>
        <v/>
      </c>
      <c r="J84" s="11" t="n"/>
      <c r="K84" s="11" t="n"/>
      <c r="L84" s="11" t="n"/>
      <c r="M84" s="11" t="n"/>
      <c r="N84" s="11" t="n"/>
      <c r="O84" s="11" t="n"/>
      <c r="P84" s="42">
        <f>IF(COUNT(J84:M84)=4,ROUND(AVERAGE(J84:M84),1),"")</f>
        <v/>
      </c>
    </row>
    <row r="85">
      <c r="A85" s="9" t="n"/>
      <c r="B85" s="9" t="n"/>
      <c r="C85" s="33" t="n"/>
      <c r="D85" s="33" t="n"/>
      <c r="E85" s="9" t="n"/>
      <c r="F85" s="9" t="n"/>
      <c r="G85" s="9" t="n"/>
      <c r="H85" s="33" t="n"/>
      <c r="I85" s="39">
        <f>IF(AND(C85&gt;0,H85&gt;0),H85*12/(C85*900),"")</f>
        <v/>
      </c>
      <c r="J85" s="9" t="n"/>
      <c r="K85" s="9" t="n"/>
      <c r="L85" s="9" t="n"/>
      <c r="M85" s="9" t="n"/>
      <c r="N85" s="9" t="n"/>
      <c r="O85" s="9" t="n"/>
      <c r="P85" s="40">
        <f>IF(COUNT(J85:M85)=4,ROUND(AVERAGE(J85:M85),1),"")</f>
        <v/>
      </c>
    </row>
    <row r="86">
      <c r="A86" s="11" t="n"/>
      <c r="B86" s="11" t="n"/>
      <c r="C86" s="36" t="n"/>
      <c r="D86" s="36" t="n"/>
      <c r="E86" s="11" t="n"/>
      <c r="F86" s="11" t="n"/>
      <c r="G86" s="11" t="n"/>
      <c r="H86" s="36" t="n"/>
      <c r="I86" s="41">
        <f>IF(AND(C86&gt;0,H86&gt;0),H86*12/(C86*900),"")</f>
        <v/>
      </c>
      <c r="J86" s="11" t="n"/>
      <c r="K86" s="11" t="n"/>
      <c r="L86" s="11" t="n"/>
      <c r="M86" s="11" t="n"/>
      <c r="N86" s="11" t="n"/>
      <c r="O86" s="11" t="n"/>
      <c r="P86" s="42">
        <f>IF(COUNT(J86:M86)=4,ROUND(AVERAGE(J86:M86),1),"")</f>
        <v/>
      </c>
    </row>
    <row r="87">
      <c r="A87" s="9" t="n"/>
      <c r="B87" s="9" t="n"/>
      <c r="C87" s="33" t="n"/>
      <c r="D87" s="33" t="n"/>
      <c r="E87" s="9" t="n"/>
      <c r="F87" s="9" t="n"/>
      <c r="G87" s="9" t="n"/>
      <c r="H87" s="33" t="n"/>
      <c r="I87" s="39">
        <f>IF(AND(C87&gt;0,H87&gt;0),H87*12/(C87*900),"")</f>
        <v/>
      </c>
      <c r="J87" s="9" t="n"/>
      <c r="K87" s="9" t="n"/>
      <c r="L87" s="9" t="n"/>
      <c r="M87" s="9" t="n"/>
      <c r="N87" s="9" t="n"/>
      <c r="O87" s="9" t="n"/>
      <c r="P87" s="40">
        <f>IF(COUNT(J87:M87)=4,ROUND(AVERAGE(J87:M87),1),"")</f>
        <v/>
      </c>
    </row>
    <row r="88">
      <c r="A88" s="11" t="n"/>
      <c r="B88" s="11" t="n"/>
      <c r="C88" s="36" t="n"/>
      <c r="D88" s="36" t="n"/>
      <c r="E88" s="11" t="n"/>
      <c r="F88" s="11" t="n"/>
      <c r="G88" s="11" t="n"/>
      <c r="H88" s="36" t="n"/>
      <c r="I88" s="41">
        <f>IF(AND(C88&gt;0,H88&gt;0),H88*12/(C88*900),"")</f>
        <v/>
      </c>
      <c r="J88" s="11" t="n"/>
      <c r="K88" s="11" t="n"/>
      <c r="L88" s="11" t="n"/>
      <c r="M88" s="11" t="n"/>
      <c r="N88" s="11" t="n"/>
      <c r="O88" s="11" t="n"/>
      <c r="P88" s="42">
        <f>IF(COUNT(J88:M88)=4,ROUND(AVERAGE(J88:M88),1),"")</f>
        <v/>
      </c>
    </row>
    <row r="89">
      <c r="A89" s="9" t="n"/>
      <c r="B89" s="9" t="n"/>
      <c r="C89" s="33" t="n"/>
      <c r="D89" s="33" t="n"/>
      <c r="E89" s="9" t="n"/>
      <c r="F89" s="9" t="n"/>
      <c r="G89" s="9" t="n"/>
      <c r="H89" s="33" t="n"/>
      <c r="I89" s="39">
        <f>IF(AND(C89&gt;0,H89&gt;0),H89*12/(C89*900),"")</f>
        <v/>
      </c>
      <c r="J89" s="9" t="n"/>
      <c r="K89" s="9" t="n"/>
      <c r="L89" s="9" t="n"/>
      <c r="M89" s="9" t="n"/>
      <c r="N89" s="9" t="n"/>
      <c r="O89" s="9" t="n"/>
      <c r="P89" s="40">
        <f>IF(COUNT(J89:M89)=4,ROUND(AVERAGE(J89:M89),1),"")</f>
        <v/>
      </c>
    </row>
    <row r="90">
      <c r="A90" s="11" t="n"/>
      <c r="B90" s="11" t="n"/>
      <c r="C90" s="36" t="n"/>
      <c r="D90" s="36" t="n"/>
      <c r="E90" s="11" t="n"/>
      <c r="F90" s="11" t="n"/>
      <c r="G90" s="11" t="n"/>
      <c r="H90" s="36" t="n"/>
      <c r="I90" s="41">
        <f>IF(AND(C90&gt;0,H90&gt;0),H90*12/(C90*900),"")</f>
        <v/>
      </c>
      <c r="J90" s="11" t="n"/>
      <c r="K90" s="11" t="n"/>
      <c r="L90" s="11" t="n"/>
      <c r="M90" s="11" t="n"/>
      <c r="N90" s="11" t="n"/>
      <c r="O90" s="11" t="n"/>
      <c r="P90" s="42">
        <f>IF(COUNT(J90:M90)=4,ROUND(AVERAGE(J90:M90),1),"")</f>
        <v/>
      </c>
    </row>
    <row r="91">
      <c r="A91" s="9" t="n"/>
      <c r="B91" s="9" t="n"/>
      <c r="C91" s="33" t="n"/>
      <c r="D91" s="33" t="n"/>
      <c r="E91" s="9" t="n"/>
      <c r="F91" s="9" t="n"/>
      <c r="G91" s="9" t="n"/>
      <c r="H91" s="33" t="n"/>
      <c r="I91" s="39">
        <f>IF(AND(C91&gt;0,H91&gt;0),H91*12/(C91*900),"")</f>
        <v/>
      </c>
      <c r="J91" s="9" t="n"/>
      <c r="K91" s="9" t="n"/>
      <c r="L91" s="9" t="n"/>
      <c r="M91" s="9" t="n"/>
      <c r="N91" s="9" t="n"/>
      <c r="O91" s="9" t="n"/>
      <c r="P91" s="40">
        <f>IF(COUNT(J91:M91)=4,ROUND(AVERAGE(J91:M91),1),"")</f>
        <v/>
      </c>
    </row>
    <row r="92">
      <c r="A92" s="11" t="n"/>
      <c r="B92" s="11" t="n"/>
      <c r="C92" s="36" t="n"/>
      <c r="D92" s="36" t="n"/>
      <c r="E92" s="11" t="n"/>
      <c r="F92" s="11" t="n"/>
      <c r="G92" s="11" t="n"/>
      <c r="H92" s="36" t="n"/>
      <c r="I92" s="41">
        <f>IF(AND(C92&gt;0,H92&gt;0),H92*12/(C92*900),"")</f>
        <v/>
      </c>
      <c r="J92" s="11" t="n"/>
      <c r="K92" s="11" t="n"/>
      <c r="L92" s="11" t="n"/>
      <c r="M92" s="11" t="n"/>
      <c r="N92" s="11" t="n"/>
      <c r="O92" s="11" t="n"/>
      <c r="P92" s="42">
        <f>IF(COUNT(J92:M92)=4,ROUND(AVERAGE(J92:M92),1),"")</f>
        <v/>
      </c>
    </row>
    <row r="93">
      <c r="A93" s="9" t="n"/>
      <c r="B93" s="9" t="n"/>
      <c r="C93" s="33" t="n"/>
      <c r="D93" s="33" t="n"/>
      <c r="E93" s="9" t="n"/>
      <c r="F93" s="9" t="n"/>
      <c r="G93" s="9" t="n"/>
      <c r="H93" s="33" t="n"/>
      <c r="I93" s="39">
        <f>IF(AND(C93&gt;0,H93&gt;0),H93*12/(C93*900),"")</f>
        <v/>
      </c>
      <c r="J93" s="9" t="n"/>
      <c r="K93" s="9" t="n"/>
      <c r="L93" s="9" t="n"/>
      <c r="M93" s="9" t="n"/>
      <c r="N93" s="9" t="n"/>
      <c r="O93" s="9" t="n"/>
      <c r="P93" s="40">
        <f>IF(COUNT(J93:M93)=4,ROUND(AVERAGE(J93:M93),1),"")</f>
        <v/>
      </c>
    </row>
    <row r="94">
      <c r="A94" s="11" t="n"/>
      <c r="B94" s="11" t="n"/>
      <c r="C94" s="36" t="n"/>
      <c r="D94" s="36" t="n"/>
      <c r="E94" s="11" t="n"/>
      <c r="F94" s="11" t="n"/>
      <c r="G94" s="11" t="n"/>
      <c r="H94" s="36" t="n"/>
      <c r="I94" s="41">
        <f>IF(AND(C94&gt;0,H94&gt;0),H94*12/(C94*900),"")</f>
        <v/>
      </c>
      <c r="J94" s="11" t="n"/>
      <c r="K94" s="11" t="n"/>
      <c r="L94" s="11" t="n"/>
      <c r="M94" s="11" t="n"/>
      <c r="N94" s="11" t="n"/>
      <c r="O94" s="11" t="n"/>
      <c r="P94" s="42">
        <f>IF(COUNT(J94:M94)=4,ROUND(AVERAGE(J94:M94),1),"")</f>
        <v/>
      </c>
    </row>
    <row r="95">
      <c r="A95" s="9" t="n"/>
      <c r="B95" s="9" t="n"/>
      <c r="C95" s="33" t="n"/>
      <c r="D95" s="33" t="n"/>
      <c r="E95" s="9" t="n"/>
      <c r="F95" s="9" t="n"/>
      <c r="G95" s="9" t="n"/>
      <c r="H95" s="33" t="n"/>
      <c r="I95" s="39">
        <f>IF(AND(C95&gt;0,H95&gt;0),H95*12/(C95*900),"")</f>
        <v/>
      </c>
      <c r="J95" s="9" t="n"/>
      <c r="K95" s="9" t="n"/>
      <c r="L95" s="9" t="n"/>
      <c r="M95" s="9" t="n"/>
      <c r="N95" s="9" t="n"/>
      <c r="O95" s="9" t="n"/>
      <c r="P95" s="40">
        <f>IF(COUNT(J95:M95)=4,ROUND(AVERAGE(J95:M95),1),"")</f>
        <v/>
      </c>
    </row>
    <row r="96">
      <c r="A96" s="11" t="n"/>
      <c r="B96" s="11" t="n"/>
      <c r="C96" s="36" t="n"/>
      <c r="D96" s="36" t="n"/>
      <c r="E96" s="11" t="n"/>
      <c r="F96" s="11" t="n"/>
      <c r="G96" s="11" t="n"/>
      <c r="H96" s="36" t="n"/>
      <c r="I96" s="41">
        <f>IF(AND(C96&gt;0,H96&gt;0),H96*12/(C96*900),"")</f>
        <v/>
      </c>
      <c r="J96" s="11" t="n"/>
      <c r="K96" s="11" t="n"/>
      <c r="L96" s="11" t="n"/>
      <c r="M96" s="11" t="n"/>
      <c r="N96" s="11" t="n"/>
      <c r="O96" s="11" t="n"/>
      <c r="P96" s="42">
        <f>IF(COUNT(J96:M96)=4,ROUND(AVERAGE(J96:M96),1),"")</f>
        <v/>
      </c>
    </row>
    <row r="97">
      <c r="A97" s="9" t="n"/>
      <c r="B97" s="9" t="n"/>
      <c r="C97" s="33" t="n"/>
      <c r="D97" s="33" t="n"/>
      <c r="E97" s="9" t="n"/>
      <c r="F97" s="9" t="n"/>
      <c r="G97" s="9" t="n"/>
      <c r="H97" s="33" t="n"/>
      <c r="I97" s="39">
        <f>IF(AND(C97&gt;0,H97&gt;0),H97*12/(C97*900),"")</f>
        <v/>
      </c>
      <c r="J97" s="9" t="n"/>
      <c r="K97" s="9" t="n"/>
      <c r="L97" s="9" t="n"/>
      <c r="M97" s="9" t="n"/>
      <c r="N97" s="9" t="n"/>
      <c r="O97" s="9" t="n"/>
      <c r="P97" s="40">
        <f>IF(COUNT(J97:M97)=4,ROUND(AVERAGE(J97:M97),1),"")</f>
        <v/>
      </c>
    </row>
    <row r="98">
      <c r="A98" s="11" t="n"/>
      <c r="B98" s="11" t="n"/>
      <c r="C98" s="36" t="n"/>
      <c r="D98" s="36" t="n"/>
      <c r="E98" s="11" t="n"/>
      <c r="F98" s="11" t="n"/>
      <c r="G98" s="11" t="n"/>
      <c r="H98" s="36" t="n"/>
      <c r="I98" s="41">
        <f>IF(AND(C98&gt;0,H98&gt;0),H98*12/(C98*900),"")</f>
        <v/>
      </c>
      <c r="J98" s="11" t="n"/>
      <c r="K98" s="11" t="n"/>
      <c r="L98" s="11" t="n"/>
      <c r="M98" s="11" t="n"/>
      <c r="N98" s="11" t="n"/>
      <c r="O98" s="11" t="n"/>
      <c r="P98" s="42">
        <f>IF(COUNT(J98:M98)=4,ROUND(AVERAGE(J98:M98),1),"")</f>
        <v/>
      </c>
    </row>
    <row r="99">
      <c r="A99" s="9" t="n"/>
      <c r="B99" s="9" t="n"/>
      <c r="C99" s="33" t="n"/>
      <c r="D99" s="33" t="n"/>
      <c r="E99" s="9" t="n"/>
      <c r="F99" s="9" t="n"/>
      <c r="G99" s="9" t="n"/>
      <c r="H99" s="33" t="n"/>
      <c r="I99" s="39">
        <f>IF(AND(C99&gt;0,H99&gt;0),H99*12/(C99*900),"")</f>
        <v/>
      </c>
      <c r="J99" s="9" t="n"/>
      <c r="K99" s="9" t="n"/>
      <c r="L99" s="9" t="n"/>
      <c r="M99" s="9" t="n"/>
      <c r="N99" s="9" t="n"/>
      <c r="O99" s="9" t="n"/>
      <c r="P99" s="40">
        <f>IF(COUNT(J99:M99)=4,ROUND(AVERAGE(J99:M99),1),"")</f>
        <v/>
      </c>
    </row>
    <row r="100">
      <c r="A100" s="11" t="n"/>
      <c r="B100" s="11" t="n"/>
      <c r="C100" s="36" t="n"/>
      <c r="D100" s="36" t="n"/>
      <c r="E100" s="11" t="n"/>
      <c r="F100" s="11" t="n"/>
      <c r="G100" s="11" t="n"/>
      <c r="H100" s="36" t="n"/>
      <c r="I100" s="41">
        <f>IF(AND(C100&gt;0,H100&gt;0),H100*12/(C100*900),"")</f>
        <v/>
      </c>
      <c r="J100" s="11" t="n"/>
      <c r="K100" s="11" t="n"/>
      <c r="L100" s="11" t="n"/>
      <c r="M100" s="11" t="n"/>
      <c r="N100" s="11" t="n"/>
      <c r="O100" s="11" t="n"/>
      <c r="P100" s="42">
        <f>IF(COUNT(J100:M100)=4,ROUND(AVERAGE(J100:M100),1),"")</f>
        <v/>
      </c>
    </row>
    <row r="101">
      <c r="A101" s="9" t="n"/>
      <c r="B101" s="9" t="n"/>
      <c r="C101" s="33" t="n"/>
      <c r="D101" s="33" t="n"/>
      <c r="E101" s="9" t="n"/>
      <c r="F101" s="9" t="n"/>
      <c r="G101" s="9" t="n"/>
      <c r="H101" s="33" t="n"/>
      <c r="I101" s="39">
        <f>IF(AND(C101&gt;0,H101&gt;0),H101*12/(C101*900),"")</f>
        <v/>
      </c>
      <c r="J101" s="9" t="n"/>
      <c r="K101" s="9" t="n"/>
      <c r="L101" s="9" t="n"/>
      <c r="M101" s="9" t="n"/>
      <c r="N101" s="9" t="n"/>
      <c r="O101" s="9" t="n"/>
      <c r="P101" s="40">
        <f>IF(COUNT(J101:M101)=4,ROUND(AVERAGE(J101:M101),1),"")</f>
        <v/>
      </c>
    </row>
    <row r="102">
      <c r="A102" s="11" t="n"/>
      <c r="B102" s="11" t="n"/>
      <c r="C102" s="36" t="n"/>
      <c r="D102" s="36" t="n"/>
      <c r="E102" s="11" t="n"/>
      <c r="F102" s="11" t="n"/>
      <c r="G102" s="11" t="n"/>
      <c r="H102" s="36" t="n"/>
      <c r="I102" s="41">
        <f>IF(AND(C102&gt;0,H102&gt;0),H102*12/(C102*900),"")</f>
        <v/>
      </c>
      <c r="J102" s="11" t="n"/>
      <c r="K102" s="11" t="n"/>
      <c r="L102" s="11" t="n"/>
      <c r="M102" s="11" t="n"/>
      <c r="N102" s="11" t="n"/>
      <c r="O102" s="11" t="n"/>
      <c r="P102" s="42">
        <f>IF(COUNT(J102:M102)=4,ROUND(AVERAGE(J102:M102),1),"")</f>
        <v/>
      </c>
    </row>
    <row r="103">
      <c r="A103" s="9" t="n"/>
      <c r="B103" s="9" t="n"/>
      <c r="C103" s="33" t="n"/>
      <c r="D103" s="33" t="n"/>
      <c r="E103" s="9" t="n"/>
      <c r="F103" s="9" t="n"/>
      <c r="G103" s="9" t="n"/>
      <c r="H103" s="33" t="n"/>
      <c r="I103" s="39">
        <f>IF(AND(C103&gt;0,H103&gt;0),H103*12/(C103*900),"")</f>
        <v/>
      </c>
      <c r="J103" s="9" t="n"/>
      <c r="K103" s="9" t="n"/>
      <c r="L103" s="9" t="n"/>
      <c r="M103" s="9" t="n"/>
      <c r="N103" s="9" t="n"/>
      <c r="O103" s="9" t="n"/>
      <c r="P103" s="40">
        <f>IF(COUNT(J103:M103)=4,ROUND(AVERAGE(J103:M103),1),"")</f>
        <v/>
      </c>
    </row>
    <row r="104">
      <c r="A104" s="11" t="n"/>
      <c r="B104" s="11" t="n"/>
      <c r="C104" s="36" t="n"/>
      <c r="D104" s="36" t="n"/>
      <c r="E104" s="11" t="n"/>
      <c r="F104" s="11" t="n"/>
      <c r="G104" s="11" t="n"/>
      <c r="H104" s="36" t="n"/>
      <c r="I104" s="41">
        <f>IF(AND(C104&gt;0,H104&gt;0),H104*12/(C104*900),"")</f>
        <v/>
      </c>
      <c r="J104" s="11" t="n"/>
      <c r="K104" s="11" t="n"/>
      <c r="L104" s="11" t="n"/>
      <c r="M104" s="11" t="n"/>
      <c r="N104" s="11" t="n"/>
      <c r="O104" s="11" t="n"/>
      <c r="P104" s="42">
        <f>IF(COUNT(J104:M104)=4,ROUND(AVERAGE(J104:M104),1),"")</f>
        <v/>
      </c>
    </row>
    <row r="105">
      <c r="A105" s="9" t="n"/>
      <c r="B105" s="9" t="n"/>
      <c r="C105" s="33" t="n"/>
      <c r="D105" s="33" t="n"/>
      <c r="E105" s="9" t="n"/>
      <c r="F105" s="9" t="n"/>
      <c r="G105" s="9" t="n"/>
      <c r="H105" s="33" t="n"/>
      <c r="I105" s="39">
        <f>IF(AND(C105&gt;0,H105&gt;0),H105*12/(C105*900),"")</f>
        <v/>
      </c>
      <c r="J105" s="9" t="n"/>
      <c r="K105" s="9" t="n"/>
      <c r="L105" s="9" t="n"/>
      <c r="M105" s="9" t="n"/>
      <c r="N105" s="9" t="n"/>
      <c r="O105" s="9" t="n"/>
      <c r="P105" s="40">
        <f>IF(COUNT(J105:M105)=4,ROUND(AVERAGE(J105:M105),1),"")</f>
        <v/>
      </c>
    </row>
    <row r="106">
      <c r="A106" s="11" t="n"/>
      <c r="B106" s="11" t="n"/>
      <c r="C106" s="36" t="n"/>
      <c r="D106" s="36" t="n"/>
      <c r="E106" s="11" t="n"/>
      <c r="F106" s="11" t="n"/>
      <c r="G106" s="11" t="n"/>
      <c r="H106" s="36" t="n"/>
      <c r="I106" s="41">
        <f>IF(AND(C106&gt;0,H106&gt;0),H106*12/(C106*900),"")</f>
        <v/>
      </c>
      <c r="J106" s="11" t="n"/>
      <c r="K106" s="11" t="n"/>
      <c r="L106" s="11" t="n"/>
      <c r="M106" s="11" t="n"/>
      <c r="N106" s="11" t="n"/>
      <c r="O106" s="11" t="n"/>
      <c r="P106" s="42">
        <f>IF(COUNT(J106:M106)=4,ROUND(AVERAGE(J106:M106),1),"")</f>
        <v/>
      </c>
    </row>
    <row r="107">
      <c r="A107" s="9" t="n"/>
      <c r="B107" s="9" t="n"/>
      <c r="C107" s="33" t="n"/>
      <c r="D107" s="33" t="n"/>
      <c r="E107" s="9" t="n"/>
      <c r="F107" s="9" t="n"/>
      <c r="G107" s="9" t="n"/>
      <c r="H107" s="33" t="n"/>
      <c r="I107" s="39">
        <f>IF(AND(C107&gt;0,H107&gt;0),H107*12/(C107*900),"")</f>
        <v/>
      </c>
      <c r="J107" s="9" t="n"/>
      <c r="K107" s="9" t="n"/>
      <c r="L107" s="9" t="n"/>
      <c r="M107" s="9" t="n"/>
      <c r="N107" s="9" t="n"/>
      <c r="O107" s="9" t="n"/>
      <c r="P107" s="40">
        <f>IF(COUNT(J107:M107)=4,ROUND(AVERAGE(J107:M107),1),"")</f>
        <v/>
      </c>
    </row>
    <row r="108">
      <c r="A108" s="11" t="n"/>
      <c r="B108" s="11" t="n"/>
      <c r="C108" s="36" t="n"/>
      <c r="D108" s="36" t="n"/>
      <c r="E108" s="11" t="n"/>
      <c r="F108" s="11" t="n"/>
      <c r="G108" s="11" t="n"/>
      <c r="H108" s="36" t="n"/>
      <c r="I108" s="41">
        <f>IF(AND(C108&gt;0,H108&gt;0),H108*12/(C108*900),"")</f>
        <v/>
      </c>
      <c r="J108" s="11" t="n"/>
      <c r="K108" s="11" t="n"/>
      <c r="L108" s="11" t="n"/>
      <c r="M108" s="11" t="n"/>
      <c r="N108" s="11" t="n"/>
      <c r="O108" s="11" t="n"/>
      <c r="P108" s="42">
        <f>IF(COUNT(J108:M108)=4,ROUND(AVERAGE(J108:M108),1),"")</f>
        <v/>
      </c>
    </row>
    <row r="109">
      <c r="A109" s="9" t="n"/>
      <c r="B109" s="9" t="n"/>
      <c r="C109" s="33" t="n"/>
      <c r="D109" s="33" t="n"/>
      <c r="E109" s="9" t="n"/>
      <c r="F109" s="9" t="n"/>
      <c r="G109" s="9" t="n"/>
      <c r="H109" s="33" t="n"/>
      <c r="I109" s="39">
        <f>IF(AND(C109&gt;0,H109&gt;0),H109*12/(C109*900),"")</f>
        <v/>
      </c>
      <c r="J109" s="9" t="n"/>
      <c r="K109" s="9" t="n"/>
      <c r="L109" s="9" t="n"/>
      <c r="M109" s="9" t="n"/>
      <c r="N109" s="9" t="n"/>
      <c r="O109" s="9" t="n"/>
      <c r="P109" s="40">
        <f>IF(COUNT(J109:M109)=4,ROUND(AVERAGE(J109:M109),1),"")</f>
        <v/>
      </c>
    </row>
    <row r="110">
      <c r="A110" s="11" t="n"/>
      <c r="B110" s="11" t="n"/>
      <c r="C110" s="36" t="n"/>
      <c r="D110" s="36" t="n"/>
      <c r="E110" s="11" t="n"/>
      <c r="F110" s="11" t="n"/>
      <c r="G110" s="11" t="n"/>
      <c r="H110" s="36" t="n"/>
      <c r="I110" s="41">
        <f>IF(AND(C110&gt;0,H110&gt;0),H110*12/(C110*900),"")</f>
        <v/>
      </c>
      <c r="J110" s="11" t="n"/>
      <c r="K110" s="11" t="n"/>
      <c r="L110" s="11" t="n"/>
      <c r="M110" s="11" t="n"/>
      <c r="N110" s="11" t="n"/>
      <c r="O110" s="11" t="n"/>
      <c r="P110" s="42">
        <f>IF(COUNT(J110:M110)=4,ROUND(AVERAGE(J110:M110),1),"")</f>
        <v/>
      </c>
    </row>
    <row r="111">
      <c r="A111" s="9" t="n"/>
      <c r="B111" s="9" t="n"/>
      <c r="C111" s="33" t="n"/>
      <c r="D111" s="33" t="n"/>
      <c r="E111" s="9" t="n"/>
      <c r="F111" s="9" t="n"/>
      <c r="G111" s="9" t="n"/>
      <c r="H111" s="33" t="n"/>
      <c r="I111" s="39">
        <f>IF(AND(C111&gt;0,H111&gt;0),H111*12/(C111*900),"")</f>
        <v/>
      </c>
      <c r="J111" s="9" t="n"/>
      <c r="K111" s="9" t="n"/>
      <c r="L111" s="9" t="n"/>
      <c r="M111" s="9" t="n"/>
      <c r="N111" s="9" t="n"/>
      <c r="O111" s="9" t="n"/>
      <c r="P111" s="40">
        <f>IF(COUNT(J111:M111)=4,ROUND(AVERAGE(J111:M111),1),"")</f>
        <v/>
      </c>
    </row>
    <row r="112">
      <c r="A112" s="11" t="n"/>
      <c r="B112" s="11" t="n"/>
      <c r="C112" s="36" t="n"/>
      <c r="D112" s="36" t="n"/>
      <c r="E112" s="11" t="n"/>
      <c r="F112" s="11" t="n"/>
      <c r="G112" s="11" t="n"/>
      <c r="H112" s="36" t="n"/>
      <c r="I112" s="41">
        <f>IF(AND(C112&gt;0,H112&gt;0),H112*12/(C112*900),"")</f>
        <v/>
      </c>
      <c r="J112" s="11" t="n"/>
      <c r="K112" s="11" t="n"/>
      <c r="L112" s="11" t="n"/>
      <c r="M112" s="11" t="n"/>
      <c r="N112" s="11" t="n"/>
      <c r="O112" s="11" t="n"/>
      <c r="P112" s="42">
        <f>IF(COUNT(J112:M112)=4,ROUND(AVERAGE(J112:M112),1),"")</f>
        <v/>
      </c>
    </row>
    <row r="113">
      <c r="A113" s="9" t="n"/>
      <c r="B113" s="9" t="n"/>
      <c r="C113" s="33" t="n"/>
      <c r="D113" s="33" t="n"/>
      <c r="E113" s="9" t="n"/>
      <c r="F113" s="9" t="n"/>
      <c r="G113" s="9" t="n"/>
      <c r="H113" s="33" t="n"/>
      <c r="I113" s="39">
        <f>IF(AND(C113&gt;0,H113&gt;0),H113*12/(C113*900),"")</f>
        <v/>
      </c>
      <c r="J113" s="9" t="n"/>
      <c r="K113" s="9" t="n"/>
      <c r="L113" s="9" t="n"/>
      <c r="M113" s="9" t="n"/>
      <c r="N113" s="9" t="n"/>
      <c r="O113" s="9" t="n"/>
      <c r="P113" s="40">
        <f>IF(COUNT(J113:M113)=4,ROUND(AVERAGE(J113:M113),1),"")</f>
        <v/>
      </c>
    </row>
    <row r="114">
      <c r="A114" s="11" t="n"/>
      <c r="B114" s="11" t="n"/>
      <c r="C114" s="36" t="n"/>
      <c r="D114" s="36" t="n"/>
      <c r="E114" s="11" t="n"/>
      <c r="F114" s="11" t="n"/>
      <c r="G114" s="11" t="n"/>
      <c r="H114" s="36" t="n"/>
      <c r="I114" s="41">
        <f>IF(AND(C114&gt;0,H114&gt;0),H114*12/(C114*900),"")</f>
        <v/>
      </c>
      <c r="J114" s="11" t="n"/>
      <c r="K114" s="11" t="n"/>
      <c r="L114" s="11" t="n"/>
      <c r="M114" s="11" t="n"/>
      <c r="N114" s="11" t="n"/>
      <c r="O114" s="11" t="n"/>
      <c r="P114" s="42">
        <f>IF(COUNT(J114:M114)=4,ROUND(AVERAGE(J114:M114),1),"")</f>
        <v/>
      </c>
    </row>
    <row r="115">
      <c r="A115" s="9" t="n"/>
      <c r="B115" s="9" t="n"/>
      <c r="C115" s="33" t="n"/>
      <c r="D115" s="33" t="n"/>
      <c r="E115" s="9" t="n"/>
      <c r="F115" s="9" t="n"/>
      <c r="G115" s="9" t="n"/>
      <c r="H115" s="33" t="n"/>
      <c r="I115" s="39">
        <f>IF(AND(C115&gt;0,H115&gt;0),H115*12/(C115*900),"")</f>
        <v/>
      </c>
      <c r="J115" s="9" t="n"/>
      <c r="K115" s="9" t="n"/>
      <c r="L115" s="9" t="n"/>
      <c r="M115" s="9" t="n"/>
      <c r="N115" s="9" t="n"/>
      <c r="O115" s="9" t="n"/>
      <c r="P115" s="40">
        <f>IF(COUNT(J115:M115)=4,ROUND(AVERAGE(J115:M115),1),"")</f>
        <v/>
      </c>
    </row>
    <row r="116">
      <c r="A116" s="11" t="n"/>
      <c r="B116" s="11" t="n"/>
      <c r="C116" s="36" t="n"/>
      <c r="D116" s="36" t="n"/>
      <c r="E116" s="11" t="n"/>
      <c r="F116" s="11" t="n"/>
      <c r="G116" s="11" t="n"/>
      <c r="H116" s="36" t="n"/>
      <c r="I116" s="41">
        <f>IF(AND(C116&gt;0,H116&gt;0),H116*12/(C116*900),"")</f>
        <v/>
      </c>
      <c r="J116" s="11" t="n"/>
      <c r="K116" s="11" t="n"/>
      <c r="L116" s="11" t="n"/>
      <c r="M116" s="11" t="n"/>
      <c r="N116" s="11" t="n"/>
      <c r="O116" s="11" t="n"/>
      <c r="P116" s="42">
        <f>IF(COUNT(J116:M116)=4,ROUND(AVERAGE(J116:M116),1),"")</f>
        <v/>
      </c>
    </row>
    <row r="117">
      <c r="A117" s="9" t="n"/>
      <c r="B117" s="9" t="n"/>
      <c r="C117" s="33" t="n"/>
      <c r="D117" s="33" t="n"/>
      <c r="E117" s="9" t="n"/>
      <c r="F117" s="9" t="n"/>
      <c r="G117" s="9" t="n"/>
      <c r="H117" s="33" t="n"/>
      <c r="I117" s="39">
        <f>IF(AND(C117&gt;0,H117&gt;0),H117*12/(C117*900),"")</f>
        <v/>
      </c>
      <c r="J117" s="9" t="n"/>
      <c r="K117" s="9" t="n"/>
      <c r="L117" s="9" t="n"/>
      <c r="M117" s="9" t="n"/>
      <c r="N117" s="9" t="n"/>
      <c r="O117" s="9" t="n"/>
      <c r="P117" s="40">
        <f>IF(COUNT(J117:M117)=4,ROUND(AVERAGE(J117:M117),1),"")</f>
        <v/>
      </c>
    </row>
    <row r="118">
      <c r="A118" s="11" t="n"/>
      <c r="B118" s="11" t="n"/>
      <c r="C118" s="36" t="n"/>
      <c r="D118" s="36" t="n"/>
      <c r="E118" s="11" t="n"/>
      <c r="F118" s="11" t="n"/>
      <c r="G118" s="11" t="n"/>
      <c r="H118" s="36" t="n"/>
      <c r="I118" s="41">
        <f>IF(AND(C118&gt;0,H118&gt;0),H118*12/(C118*900),"")</f>
        <v/>
      </c>
      <c r="J118" s="11" t="n"/>
      <c r="K118" s="11" t="n"/>
      <c r="L118" s="11" t="n"/>
      <c r="M118" s="11" t="n"/>
      <c r="N118" s="11" t="n"/>
      <c r="O118" s="11" t="n"/>
      <c r="P118" s="42">
        <f>IF(COUNT(J118:M118)=4,ROUND(AVERAGE(J118:M118),1),"")</f>
        <v/>
      </c>
    </row>
    <row r="119">
      <c r="A119" s="9" t="n"/>
      <c r="B119" s="9" t="n"/>
      <c r="C119" s="33" t="n"/>
      <c r="D119" s="33" t="n"/>
      <c r="E119" s="9" t="n"/>
      <c r="F119" s="9" t="n"/>
      <c r="G119" s="9" t="n"/>
      <c r="H119" s="33" t="n"/>
      <c r="I119" s="39">
        <f>IF(AND(C119&gt;0,H119&gt;0),H119*12/(C119*900),"")</f>
        <v/>
      </c>
      <c r="J119" s="9" t="n"/>
      <c r="K119" s="9" t="n"/>
      <c r="L119" s="9" t="n"/>
      <c r="M119" s="9" t="n"/>
      <c r="N119" s="9" t="n"/>
      <c r="O119" s="9" t="n"/>
      <c r="P119" s="40">
        <f>IF(COUNT(J119:M119)=4,ROUND(AVERAGE(J119:M119),1),"")</f>
        <v/>
      </c>
    </row>
    <row r="120">
      <c r="A120" s="11" t="n"/>
      <c r="B120" s="11" t="n"/>
      <c r="C120" s="36" t="n"/>
      <c r="D120" s="36" t="n"/>
      <c r="E120" s="11" t="n"/>
      <c r="F120" s="11" t="n"/>
      <c r="G120" s="11" t="n"/>
      <c r="H120" s="36" t="n"/>
      <c r="I120" s="41">
        <f>IF(AND(C120&gt;0,H120&gt;0),H120*12/(C120*900),"")</f>
        <v/>
      </c>
      <c r="J120" s="11" t="n"/>
      <c r="K120" s="11" t="n"/>
      <c r="L120" s="11" t="n"/>
      <c r="M120" s="11" t="n"/>
      <c r="N120" s="11" t="n"/>
      <c r="O120" s="11" t="n"/>
      <c r="P120" s="42">
        <f>IF(COUNT(J120:M120)=4,ROUND(AVERAGE(J120:M120),1),"")</f>
        <v/>
      </c>
    </row>
    <row r="121">
      <c r="A121" s="9" t="n"/>
      <c r="B121" s="9" t="n"/>
      <c r="C121" s="33" t="n"/>
      <c r="D121" s="33" t="n"/>
      <c r="E121" s="9" t="n"/>
      <c r="F121" s="9" t="n"/>
      <c r="G121" s="9" t="n"/>
      <c r="H121" s="33" t="n"/>
      <c r="I121" s="39">
        <f>IF(AND(C121&gt;0,H121&gt;0),H121*12/(C121*900),"")</f>
        <v/>
      </c>
      <c r="J121" s="9" t="n"/>
      <c r="K121" s="9" t="n"/>
      <c r="L121" s="9" t="n"/>
      <c r="M121" s="9" t="n"/>
      <c r="N121" s="9" t="n"/>
      <c r="O121" s="9" t="n"/>
      <c r="P121" s="40">
        <f>IF(COUNT(J121:M121)=4,ROUND(AVERAGE(J121:M121),1),"")</f>
        <v/>
      </c>
    </row>
    <row r="122">
      <c r="A122" s="11" t="n"/>
      <c r="B122" s="11" t="n"/>
      <c r="C122" s="36" t="n"/>
      <c r="D122" s="36" t="n"/>
      <c r="E122" s="11" t="n"/>
      <c r="F122" s="11" t="n"/>
      <c r="G122" s="11" t="n"/>
      <c r="H122" s="36" t="n"/>
      <c r="I122" s="41">
        <f>IF(AND(C122&gt;0,H122&gt;0),H122*12/(C122*900),"")</f>
        <v/>
      </c>
      <c r="J122" s="11" t="n"/>
      <c r="K122" s="11" t="n"/>
      <c r="L122" s="11" t="n"/>
      <c r="M122" s="11" t="n"/>
      <c r="N122" s="11" t="n"/>
      <c r="O122" s="11" t="n"/>
      <c r="P122" s="42">
        <f>IF(COUNT(J122:M122)=4,ROUND(AVERAGE(J122:M122),1),"")</f>
        <v/>
      </c>
    </row>
    <row r="123">
      <c r="A123" s="9" t="n"/>
      <c r="B123" s="9" t="n"/>
      <c r="C123" s="33" t="n"/>
      <c r="D123" s="33" t="n"/>
      <c r="E123" s="9" t="n"/>
      <c r="F123" s="9" t="n"/>
      <c r="G123" s="9" t="n"/>
      <c r="H123" s="33" t="n"/>
      <c r="I123" s="39">
        <f>IF(AND(C123&gt;0,H123&gt;0),H123*12/(C123*900),"")</f>
        <v/>
      </c>
      <c r="J123" s="9" t="n"/>
      <c r="K123" s="9" t="n"/>
      <c r="L123" s="9" t="n"/>
      <c r="M123" s="9" t="n"/>
      <c r="N123" s="9" t="n"/>
      <c r="O123" s="9" t="n"/>
      <c r="P123" s="40">
        <f>IF(COUNT(J123:M123)=4,ROUND(AVERAGE(J123:M123),1),"")</f>
        <v/>
      </c>
    </row>
    <row r="124">
      <c r="A124" s="11" t="n"/>
      <c r="B124" s="11" t="n"/>
      <c r="C124" s="36" t="n"/>
      <c r="D124" s="36" t="n"/>
      <c r="E124" s="11" t="n"/>
      <c r="F124" s="11" t="n"/>
      <c r="G124" s="11" t="n"/>
      <c r="H124" s="36" t="n"/>
      <c r="I124" s="41">
        <f>IF(AND(C124&gt;0,H124&gt;0),H124*12/(C124*900),"")</f>
        <v/>
      </c>
      <c r="J124" s="11" t="n"/>
      <c r="K124" s="11" t="n"/>
      <c r="L124" s="11" t="n"/>
      <c r="M124" s="11" t="n"/>
      <c r="N124" s="11" t="n"/>
      <c r="O124" s="11" t="n"/>
      <c r="P124" s="42">
        <f>IF(COUNT(J124:M124)=4,ROUND(AVERAGE(J124:M124),1),"")</f>
        <v/>
      </c>
    </row>
    <row r="125">
      <c r="A125" s="9" t="n"/>
      <c r="B125" s="9" t="n"/>
      <c r="C125" s="33" t="n"/>
      <c r="D125" s="33" t="n"/>
      <c r="E125" s="9" t="n"/>
      <c r="F125" s="9" t="n"/>
      <c r="G125" s="9" t="n"/>
      <c r="H125" s="33" t="n"/>
      <c r="I125" s="39">
        <f>IF(AND(C125&gt;0,H125&gt;0),H125*12/(C125*900),"")</f>
        <v/>
      </c>
      <c r="J125" s="9" t="n"/>
      <c r="K125" s="9" t="n"/>
      <c r="L125" s="9" t="n"/>
      <c r="M125" s="9" t="n"/>
      <c r="N125" s="9" t="n"/>
      <c r="O125" s="9" t="n"/>
      <c r="P125" s="40">
        <f>IF(COUNT(J125:M125)=4,ROUND(AVERAGE(J125:M125),1),"")</f>
        <v/>
      </c>
    </row>
    <row r="126">
      <c r="A126" s="11" t="n"/>
      <c r="B126" s="11" t="n"/>
      <c r="C126" s="36" t="n"/>
      <c r="D126" s="36" t="n"/>
      <c r="E126" s="11" t="n"/>
      <c r="F126" s="11" t="n"/>
      <c r="G126" s="11" t="n"/>
      <c r="H126" s="36" t="n"/>
      <c r="I126" s="41">
        <f>IF(AND(C126&gt;0,H126&gt;0),H126*12/(C126*900),"")</f>
        <v/>
      </c>
      <c r="J126" s="11" t="n"/>
      <c r="K126" s="11" t="n"/>
      <c r="L126" s="11" t="n"/>
      <c r="M126" s="11" t="n"/>
      <c r="N126" s="11" t="n"/>
      <c r="O126" s="11" t="n"/>
      <c r="P126" s="42">
        <f>IF(COUNT(J126:M126)=4,ROUND(AVERAGE(J126:M126),1),"")</f>
        <v/>
      </c>
    </row>
    <row r="127">
      <c r="A127" s="9" t="n"/>
      <c r="B127" s="9" t="n"/>
      <c r="C127" s="33" t="n"/>
      <c r="D127" s="33" t="n"/>
      <c r="E127" s="9" t="n"/>
      <c r="F127" s="9" t="n"/>
      <c r="G127" s="9" t="n"/>
      <c r="H127" s="33" t="n"/>
      <c r="I127" s="39">
        <f>IF(AND(C127&gt;0,H127&gt;0),H127*12/(C127*900),"")</f>
        <v/>
      </c>
      <c r="J127" s="9" t="n"/>
      <c r="K127" s="9" t="n"/>
      <c r="L127" s="9" t="n"/>
      <c r="M127" s="9" t="n"/>
      <c r="N127" s="9" t="n"/>
      <c r="O127" s="9" t="n"/>
      <c r="P127" s="40">
        <f>IF(COUNT(J127:M127)=4,ROUND(AVERAGE(J127:M127),1),"")</f>
        <v/>
      </c>
    </row>
    <row r="129">
      <c r="A129" s="23" t="inlineStr">
        <is>
          <t>Gross yield uses a 900 sqft carpet placeholder in the divisor purely so the formula runs — REPLACE it with the verified carpet area of the specific unit before showing any yield to a client. A sample size below 5 is flagged amber: publish it as low confidence or not at all.</t>
        </is>
      </c>
    </row>
  </sheetData>
  <mergeCells count="2">
    <mergeCell ref="A129:L129"/>
    <mergeCell ref="A2:P2"/>
  </mergeCells>
  <conditionalFormatting sqref="F5:F127">
    <cfRule type="cellIs" priority="1" operator="lessThan" dxfId="1">
      <formula>5</formula>
    </cfRule>
  </conditionalFormatting>
  <dataValidations count="2">
    <dataValidation sqref="E5:E127" showDropDown="0" showInputMessage="0" showErrorMessage="0" allowBlank="1" type="list">
      <formula1>"carpet,built_up,saleable"</formula1>
    </dataValidation>
    <dataValidation sqref="O5:O12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6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1" customWidth="1" min="11" max="11"/>
    <col width="11" customWidth="1" min="12" max="12"/>
    <col width="34" customWidth="1" min="13" max="13"/>
  </cols>
  <sheetData>
    <row r="1" ht="22" customHeight="1">
      <c r="A1" s="6" t="inlineStr">
        <is>
          <t>Data health and freshness</t>
        </is>
      </c>
    </row>
    <row r="2" ht="30" customHeight="1">
      <c r="A2" s="7" t="inlineStr">
        <is>
          <t>One row per fact. age_days and stale_flag compute themselves. If the stale count is rising faster than you are adding facts, the corridor is too big.</t>
        </is>
      </c>
    </row>
    <row r="4" ht="26" customHeight="1">
      <c r="A4" s="8" t="inlineStr">
        <is>
          <t>Record_ID</t>
        </is>
      </c>
      <c r="B4" s="8" t="inlineStr">
        <is>
          <t>geo_id</t>
        </is>
      </c>
      <c r="C4" s="8" t="inlineStr">
        <is>
          <t>domain</t>
        </is>
      </c>
      <c r="D4" s="8" t="inlineStr">
        <is>
          <t>metric</t>
        </is>
      </c>
      <c r="E4" s="8" t="inlineStr">
        <is>
          <t>observed_date</t>
        </is>
      </c>
      <c r="F4" s="8" t="inlineStr">
        <is>
          <t>source_ref</t>
        </is>
      </c>
      <c r="G4" s="8" t="inlineStr">
        <is>
          <t>confidence</t>
        </is>
      </c>
      <c r="H4" s="8" t="inlineStr">
        <is>
          <t>sample n</t>
        </is>
      </c>
      <c r="I4" s="8" t="inlineStr">
        <is>
          <t>stale_after</t>
        </is>
      </c>
      <c r="J4" s="8" t="inlineStr">
        <is>
          <t>age_days</t>
        </is>
      </c>
      <c r="K4" s="8" t="inlineStr">
        <is>
          <t>stale?</t>
        </is>
      </c>
      <c r="L4" s="8" t="inlineStr">
        <is>
          <t>conflict?</t>
        </is>
      </c>
      <c r="M4" s="8" t="inlineStr">
        <is>
          <t>Notes</t>
        </is>
      </c>
    </row>
    <row r="5">
      <c r="A5" s="9" t="n"/>
      <c r="B5" s="9" t="n"/>
      <c r="C5" s="9" t="n"/>
      <c r="D5" s="9" t="n"/>
      <c r="E5" s="34" t="n"/>
      <c r="F5" s="9" t="n"/>
      <c r="G5" s="9" t="n"/>
      <c r="H5" s="9" t="n"/>
      <c r="I5" s="9" t="n"/>
      <c r="J5" s="43">
        <f>IF(E5="","",TODAY()-E5)</f>
        <v/>
      </c>
      <c r="K5" s="9">
        <f>IF(OR(E5="",I5=""),"",IF(J5&gt;I5,"STALE","ok"))</f>
        <v/>
      </c>
      <c r="L5" s="9" t="n"/>
      <c r="M5" s="9" t="n"/>
    </row>
    <row r="6">
      <c r="A6" s="11" t="n"/>
      <c r="B6" s="11" t="n"/>
      <c r="C6" s="11" t="n"/>
      <c r="D6" s="11" t="n"/>
      <c r="E6" s="37" t="n"/>
      <c r="F6" s="11" t="n"/>
      <c r="G6" s="11" t="n"/>
      <c r="H6" s="11" t="n"/>
      <c r="I6" s="11" t="n"/>
      <c r="J6" s="44">
        <f>IF(E6="","",TODAY()-E6)</f>
        <v/>
      </c>
      <c r="K6" s="11">
        <f>IF(OR(E6="",I6=""),"",IF(J6&gt;I6,"STALE","ok"))</f>
        <v/>
      </c>
      <c r="L6" s="11" t="n"/>
      <c r="M6" s="11" t="n"/>
    </row>
    <row r="7">
      <c r="A7" s="9" t="n"/>
      <c r="B7" s="9" t="n"/>
      <c r="C7" s="9" t="n"/>
      <c r="D7" s="9" t="n"/>
      <c r="E7" s="34" t="n"/>
      <c r="F7" s="9" t="n"/>
      <c r="G7" s="9" t="n"/>
      <c r="H7" s="9" t="n"/>
      <c r="I7" s="9" t="n"/>
      <c r="J7" s="43">
        <f>IF(E7="","",TODAY()-E7)</f>
        <v/>
      </c>
      <c r="K7" s="9">
        <f>IF(OR(E7="",I7=""),"",IF(J7&gt;I7,"STALE","ok"))</f>
        <v/>
      </c>
      <c r="L7" s="9" t="n"/>
      <c r="M7" s="9" t="n"/>
    </row>
    <row r="8">
      <c r="A8" s="11" t="n"/>
      <c r="B8" s="11" t="n"/>
      <c r="C8" s="11" t="n"/>
      <c r="D8" s="11" t="n"/>
      <c r="E8" s="37" t="n"/>
      <c r="F8" s="11" t="n"/>
      <c r="G8" s="11" t="n"/>
      <c r="H8" s="11" t="n"/>
      <c r="I8" s="11" t="n"/>
      <c r="J8" s="44">
        <f>IF(E8="","",TODAY()-E8)</f>
        <v/>
      </c>
      <c r="K8" s="11">
        <f>IF(OR(E8="",I8=""),"",IF(J8&gt;I8,"STALE","ok"))</f>
        <v/>
      </c>
      <c r="L8" s="11" t="n"/>
      <c r="M8" s="11" t="n"/>
    </row>
    <row r="9">
      <c r="A9" s="9" t="n"/>
      <c r="B9" s="9" t="n"/>
      <c r="C9" s="9" t="n"/>
      <c r="D9" s="9" t="n"/>
      <c r="E9" s="34" t="n"/>
      <c r="F9" s="9" t="n"/>
      <c r="G9" s="9" t="n"/>
      <c r="H9" s="9" t="n"/>
      <c r="I9" s="9" t="n"/>
      <c r="J9" s="43">
        <f>IF(E9="","",TODAY()-E9)</f>
        <v/>
      </c>
      <c r="K9" s="9">
        <f>IF(OR(E9="",I9=""),"",IF(J9&gt;I9,"STALE","ok"))</f>
        <v/>
      </c>
      <c r="L9" s="9" t="n"/>
      <c r="M9" s="9" t="n"/>
    </row>
    <row r="10">
      <c r="A10" s="11" t="n"/>
      <c r="B10" s="11" t="n"/>
      <c r="C10" s="11" t="n"/>
      <c r="D10" s="11" t="n"/>
      <c r="E10" s="37" t="n"/>
      <c r="F10" s="11" t="n"/>
      <c r="G10" s="11" t="n"/>
      <c r="H10" s="11" t="n"/>
      <c r="I10" s="11" t="n"/>
      <c r="J10" s="44">
        <f>IF(E10="","",TODAY()-E10)</f>
        <v/>
      </c>
      <c r="K10" s="11">
        <f>IF(OR(E10="",I10=""),"",IF(J10&gt;I10,"STALE","ok"))</f>
        <v/>
      </c>
      <c r="L10" s="11" t="n"/>
      <c r="M10" s="11" t="n"/>
    </row>
    <row r="11">
      <c r="A11" s="9" t="n"/>
      <c r="B11" s="9" t="n"/>
      <c r="C11" s="9" t="n"/>
      <c r="D11" s="9" t="n"/>
      <c r="E11" s="34" t="n"/>
      <c r="F11" s="9" t="n"/>
      <c r="G11" s="9" t="n"/>
      <c r="H11" s="9" t="n"/>
      <c r="I11" s="9" t="n"/>
      <c r="J11" s="43">
        <f>IF(E11="","",TODAY()-E11)</f>
        <v/>
      </c>
      <c r="K11" s="9">
        <f>IF(OR(E11="",I11=""),"",IF(J11&gt;I11,"STALE","ok"))</f>
        <v/>
      </c>
      <c r="L11" s="9" t="n"/>
      <c r="M11" s="9" t="n"/>
    </row>
    <row r="12">
      <c r="A12" s="11" t="n"/>
      <c r="B12" s="11" t="n"/>
      <c r="C12" s="11" t="n"/>
      <c r="D12" s="11" t="n"/>
      <c r="E12" s="37" t="n"/>
      <c r="F12" s="11" t="n"/>
      <c r="G12" s="11" t="n"/>
      <c r="H12" s="11" t="n"/>
      <c r="I12" s="11" t="n"/>
      <c r="J12" s="44">
        <f>IF(E12="","",TODAY()-E12)</f>
        <v/>
      </c>
      <c r="K12" s="11">
        <f>IF(OR(E12="",I12=""),"",IF(J12&gt;I12,"STALE","ok"))</f>
        <v/>
      </c>
      <c r="L12" s="11" t="n"/>
      <c r="M12" s="11" t="n"/>
    </row>
    <row r="13">
      <c r="A13" s="9" t="n"/>
      <c r="B13" s="9" t="n"/>
      <c r="C13" s="9" t="n"/>
      <c r="D13" s="9" t="n"/>
      <c r="E13" s="34" t="n"/>
      <c r="F13" s="9" t="n"/>
      <c r="G13" s="9" t="n"/>
      <c r="H13" s="9" t="n"/>
      <c r="I13" s="9" t="n"/>
      <c r="J13" s="43">
        <f>IF(E13="","",TODAY()-E13)</f>
        <v/>
      </c>
      <c r="K13" s="9">
        <f>IF(OR(E13="",I13=""),"",IF(J13&gt;I13,"STALE","ok"))</f>
        <v/>
      </c>
      <c r="L13" s="9" t="n"/>
      <c r="M13" s="9" t="n"/>
    </row>
    <row r="14">
      <c r="A14" s="11" t="n"/>
      <c r="B14" s="11" t="n"/>
      <c r="C14" s="11" t="n"/>
      <c r="D14" s="11" t="n"/>
      <c r="E14" s="37" t="n"/>
      <c r="F14" s="11" t="n"/>
      <c r="G14" s="11" t="n"/>
      <c r="H14" s="11" t="n"/>
      <c r="I14" s="11" t="n"/>
      <c r="J14" s="44">
        <f>IF(E14="","",TODAY()-E14)</f>
        <v/>
      </c>
      <c r="K14" s="11">
        <f>IF(OR(E14="",I14=""),"",IF(J14&gt;I14,"STALE","ok"))</f>
        <v/>
      </c>
      <c r="L14" s="11" t="n"/>
      <c r="M14" s="11" t="n"/>
    </row>
    <row r="15">
      <c r="A15" s="9" t="n"/>
      <c r="B15" s="9" t="n"/>
      <c r="C15" s="9" t="n"/>
      <c r="D15" s="9" t="n"/>
      <c r="E15" s="34" t="n"/>
      <c r="F15" s="9" t="n"/>
      <c r="G15" s="9" t="n"/>
      <c r="H15" s="9" t="n"/>
      <c r="I15" s="9" t="n"/>
      <c r="J15" s="43">
        <f>IF(E15="","",TODAY()-E15)</f>
        <v/>
      </c>
      <c r="K15" s="9">
        <f>IF(OR(E15="",I15=""),"",IF(J15&gt;I15,"STALE","ok"))</f>
        <v/>
      </c>
      <c r="L15" s="9" t="n"/>
      <c r="M15" s="9" t="n"/>
    </row>
    <row r="16">
      <c r="A16" s="11" t="n"/>
      <c r="B16" s="11" t="n"/>
      <c r="C16" s="11" t="n"/>
      <c r="D16" s="11" t="n"/>
      <c r="E16" s="37" t="n"/>
      <c r="F16" s="11" t="n"/>
      <c r="G16" s="11" t="n"/>
      <c r="H16" s="11" t="n"/>
      <c r="I16" s="11" t="n"/>
      <c r="J16" s="44">
        <f>IF(E16="","",TODAY()-E16)</f>
        <v/>
      </c>
      <c r="K16" s="11">
        <f>IF(OR(E16="",I16=""),"",IF(J16&gt;I16,"STALE","ok"))</f>
        <v/>
      </c>
      <c r="L16" s="11" t="n"/>
      <c r="M16" s="11" t="n"/>
    </row>
    <row r="17">
      <c r="A17" s="9" t="n"/>
      <c r="B17" s="9" t="n"/>
      <c r="C17" s="9" t="n"/>
      <c r="D17" s="9" t="n"/>
      <c r="E17" s="34" t="n"/>
      <c r="F17" s="9" t="n"/>
      <c r="G17" s="9" t="n"/>
      <c r="H17" s="9" t="n"/>
      <c r="I17" s="9" t="n"/>
      <c r="J17" s="43">
        <f>IF(E17="","",TODAY()-E17)</f>
        <v/>
      </c>
      <c r="K17" s="9">
        <f>IF(OR(E17="",I17=""),"",IF(J17&gt;I17,"STALE","ok"))</f>
        <v/>
      </c>
      <c r="L17" s="9" t="n"/>
      <c r="M17" s="9" t="n"/>
    </row>
    <row r="18">
      <c r="A18" s="11" t="n"/>
      <c r="B18" s="11" t="n"/>
      <c r="C18" s="11" t="n"/>
      <c r="D18" s="11" t="n"/>
      <c r="E18" s="37" t="n"/>
      <c r="F18" s="11" t="n"/>
      <c r="G18" s="11" t="n"/>
      <c r="H18" s="11" t="n"/>
      <c r="I18" s="11" t="n"/>
      <c r="J18" s="44">
        <f>IF(E18="","",TODAY()-E18)</f>
        <v/>
      </c>
      <c r="K18" s="11">
        <f>IF(OR(E18="",I18=""),"",IF(J18&gt;I18,"STALE","ok"))</f>
        <v/>
      </c>
      <c r="L18" s="11" t="n"/>
      <c r="M18" s="11" t="n"/>
    </row>
    <row r="19">
      <c r="A19" s="9" t="n"/>
      <c r="B19" s="9" t="n"/>
      <c r="C19" s="9" t="n"/>
      <c r="D19" s="9" t="n"/>
      <c r="E19" s="34" t="n"/>
      <c r="F19" s="9" t="n"/>
      <c r="G19" s="9" t="n"/>
      <c r="H19" s="9" t="n"/>
      <c r="I19" s="9" t="n"/>
      <c r="J19" s="43">
        <f>IF(E19="","",TODAY()-E19)</f>
        <v/>
      </c>
      <c r="K19" s="9">
        <f>IF(OR(E19="",I19=""),"",IF(J19&gt;I19,"STALE","ok"))</f>
        <v/>
      </c>
      <c r="L19" s="9" t="n"/>
      <c r="M19" s="9" t="n"/>
    </row>
    <row r="20">
      <c r="A20" s="11" t="n"/>
      <c r="B20" s="11" t="n"/>
      <c r="C20" s="11" t="n"/>
      <c r="D20" s="11" t="n"/>
      <c r="E20" s="37" t="n"/>
      <c r="F20" s="11" t="n"/>
      <c r="G20" s="11" t="n"/>
      <c r="H20" s="11" t="n"/>
      <c r="I20" s="11" t="n"/>
      <c r="J20" s="44">
        <f>IF(E20="","",TODAY()-E20)</f>
        <v/>
      </c>
      <c r="K20" s="11">
        <f>IF(OR(E20="",I20=""),"",IF(J20&gt;I20,"STALE","ok"))</f>
        <v/>
      </c>
      <c r="L20" s="11" t="n"/>
      <c r="M20" s="11" t="n"/>
    </row>
    <row r="21">
      <c r="A21" s="9" t="n"/>
      <c r="B21" s="9" t="n"/>
      <c r="C21" s="9" t="n"/>
      <c r="D21" s="9" t="n"/>
      <c r="E21" s="34" t="n"/>
      <c r="F21" s="9" t="n"/>
      <c r="G21" s="9" t="n"/>
      <c r="H21" s="9" t="n"/>
      <c r="I21" s="9" t="n"/>
      <c r="J21" s="43">
        <f>IF(E21="","",TODAY()-E21)</f>
        <v/>
      </c>
      <c r="K21" s="9">
        <f>IF(OR(E21="",I21=""),"",IF(J21&gt;I21,"STALE","ok"))</f>
        <v/>
      </c>
      <c r="L21" s="9" t="n"/>
      <c r="M21" s="9" t="n"/>
    </row>
    <row r="22">
      <c r="A22" s="11" t="n"/>
      <c r="B22" s="11" t="n"/>
      <c r="C22" s="11" t="n"/>
      <c r="D22" s="11" t="n"/>
      <c r="E22" s="37" t="n"/>
      <c r="F22" s="11" t="n"/>
      <c r="G22" s="11" t="n"/>
      <c r="H22" s="11" t="n"/>
      <c r="I22" s="11" t="n"/>
      <c r="J22" s="44">
        <f>IF(E22="","",TODAY()-E22)</f>
        <v/>
      </c>
      <c r="K22" s="11">
        <f>IF(OR(E22="",I22=""),"",IF(J22&gt;I22,"STALE","ok"))</f>
        <v/>
      </c>
      <c r="L22" s="11" t="n"/>
      <c r="M22" s="11" t="n"/>
    </row>
    <row r="23">
      <c r="A23" s="9" t="n"/>
      <c r="B23" s="9" t="n"/>
      <c r="C23" s="9" t="n"/>
      <c r="D23" s="9" t="n"/>
      <c r="E23" s="34" t="n"/>
      <c r="F23" s="9" t="n"/>
      <c r="G23" s="9" t="n"/>
      <c r="H23" s="9" t="n"/>
      <c r="I23" s="9" t="n"/>
      <c r="J23" s="43">
        <f>IF(E23="","",TODAY()-E23)</f>
        <v/>
      </c>
      <c r="K23" s="9">
        <f>IF(OR(E23="",I23=""),"",IF(J23&gt;I23,"STALE","ok"))</f>
        <v/>
      </c>
      <c r="L23" s="9" t="n"/>
      <c r="M23" s="9" t="n"/>
    </row>
    <row r="24">
      <c r="A24" s="11" t="n"/>
      <c r="B24" s="11" t="n"/>
      <c r="C24" s="11" t="n"/>
      <c r="D24" s="11" t="n"/>
      <c r="E24" s="37" t="n"/>
      <c r="F24" s="11" t="n"/>
      <c r="G24" s="11" t="n"/>
      <c r="H24" s="11" t="n"/>
      <c r="I24" s="11" t="n"/>
      <c r="J24" s="44">
        <f>IF(E24="","",TODAY()-E24)</f>
        <v/>
      </c>
      <c r="K24" s="11">
        <f>IF(OR(E24="",I24=""),"",IF(J24&gt;I24,"STALE","ok"))</f>
        <v/>
      </c>
      <c r="L24" s="11" t="n"/>
      <c r="M24" s="11" t="n"/>
    </row>
    <row r="25">
      <c r="A25" s="9" t="n"/>
      <c r="B25" s="9" t="n"/>
      <c r="C25" s="9" t="n"/>
      <c r="D25" s="9" t="n"/>
      <c r="E25" s="34" t="n"/>
      <c r="F25" s="9" t="n"/>
      <c r="G25" s="9" t="n"/>
      <c r="H25" s="9" t="n"/>
      <c r="I25" s="9" t="n"/>
      <c r="J25" s="43">
        <f>IF(E25="","",TODAY()-E25)</f>
        <v/>
      </c>
      <c r="K25" s="9">
        <f>IF(OR(E25="",I25=""),"",IF(J25&gt;I25,"STALE","ok"))</f>
        <v/>
      </c>
      <c r="L25" s="9" t="n"/>
      <c r="M25" s="9" t="n"/>
    </row>
    <row r="26">
      <c r="A26" s="11" t="n"/>
      <c r="B26" s="11" t="n"/>
      <c r="C26" s="11" t="n"/>
      <c r="D26" s="11" t="n"/>
      <c r="E26" s="37" t="n"/>
      <c r="F26" s="11" t="n"/>
      <c r="G26" s="11" t="n"/>
      <c r="H26" s="11" t="n"/>
      <c r="I26" s="11" t="n"/>
      <c r="J26" s="44">
        <f>IF(E26="","",TODAY()-E26)</f>
        <v/>
      </c>
      <c r="K26" s="11">
        <f>IF(OR(E26="",I26=""),"",IF(J26&gt;I26,"STALE","ok"))</f>
        <v/>
      </c>
      <c r="L26" s="11" t="n"/>
      <c r="M26" s="11" t="n"/>
    </row>
    <row r="27">
      <c r="A27" s="9" t="n"/>
      <c r="B27" s="9" t="n"/>
      <c r="C27" s="9" t="n"/>
      <c r="D27" s="9" t="n"/>
      <c r="E27" s="34" t="n"/>
      <c r="F27" s="9" t="n"/>
      <c r="G27" s="9" t="n"/>
      <c r="H27" s="9" t="n"/>
      <c r="I27" s="9" t="n"/>
      <c r="J27" s="43">
        <f>IF(E27="","",TODAY()-E27)</f>
        <v/>
      </c>
      <c r="K27" s="9">
        <f>IF(OR(E27="",I27=""),"",IF(J27&gt;I27,"STALE","ok"))</f>
        <v/>
      </c>
      <c r="L27" s="9" t="n"/>
      <c r="M27" s="9" t="n"/>
    </row>
    <row r="28">
      <c r="A28" s="11" t="n"/>
      <c r="B28" s="11" t="n"/>
      <c r="C28" s="11" t="n"/>
      <c r="D28" s="11" t="n"/>
      <c r="E28" s="37" t="n"/>
      <c r="F28" s="11" t="n"/>
      <c r="G28" s="11" t="n"/>
      <c r="H28" s="11" t="n"/>
      <c r="I28" s="11" t="n"/>
      <c r="J28" s="44">
        <f>IF(E28="","",TODAY()-E28)</f>
        <v/>
      </c>
      <c r="K28" s="11">
        <f>IF(OR(E28="",I28=""),"",IF(J28&gt;I28,"STALE","ok"))</f>
        <v/>
      </c>
      <c r="L28" s="11" t="n"/>
      <c r="M28" s="11" t="n"/>
    </row>
    <row r="29">
      <c r="A29" s="9" t="n"/>
      <c r="B29" s="9" t="n"/>
      <c r="C29" s="9" t="n"/>
      <c r="D29" s="9" t="n"/>
      <c r="E29" s="34" t="n"/>
      <c r="F29" s="9" t="n"/>
      <c r="G29" s="9" t="n"/>
      <c r="H29" s="9" t="n"/>
      <c r="I29" s="9" t="n"/>
      <c r="J29" s="43">
        <f>IF(E29="","",TODAY()-E29)</f>
        <v/>
      </c>
      <c r="K29" s="9">
        <f>IF(OR(E29="",I29=""),"",IF(J29&gt;I29,"STALE","ok"))</f>
        <v/>
      </c>
      <c r="L29" s="9" t="n"/>
      <c r="M29" s="9" t="n"/>
    </row>
    <row r="30">
      <c r="A30" s="11" t="n"/>
      <c r="B30" s="11" t="n"/>
      <c r="C30" s="11" t="n"/>
      <c r="D30" s="11" t="n"/>
      <c r="E30" s="37" t="n"/>
      <c r="F30" s="11" t="n"/>
      <c r="G30" s="11" t="n"/>
      <c r="H30" s="11" t="n"/>
      <c r="I30" s="11" t="n"/>
      <c r="J30" s="44">
        <f>IF(E30="","",TODAY()-E30)</f>
        <v/>
      </c>
      <c r="K30" s="11">
        <f>IF(OR(E30="",I30=""),"",IF(J30&gt;I30,"STALE","ok"))</f>
        <v/>
      </c>
      <c r="L30" s="11" t="n"/>
      <c r="M30" s="11" t="n"/>
    </row>
    <row r="31">
      <c r="A31" s="9" t="n"/>
      <c r="B31" s="9" t="n"/>
      <c r="C31" s="9" t="n"/>
      <c r="D31" s="9" t="n"/>
      <c r="E31" s="34" t="n"/>
      <c r="F31" s="9" t="n"/>
      <c r="G31" s="9" t="n"/>
      <c r="H31" s="9" t="n"/>
      <c r="I31" s="9" t="n"/>
      <c r="J31" s="43">
        <f>IF(E31="","",TODAY()-E31)</f>
        <v/>
      </c>
      <c r="K31" s="9">
        <f>IF(OR(E31="",I31=""),"",IF(J31&gt;I31,"STALE","ok"))</f>
        <v/>
      </c>
      <c r="L31" s="9" t="n"/>
      <c r="M31" s="9" t="n"/>
    </row>
    <row r="32">
      <c r="A32" s="11" t="n"/>
      <c r="B32" s="11" t="n"/>
      <c r="C32" s="11" t="n"/>
      <c r="D32" s="11" t="n"/>
      <c r="E32" s="37" t="n"/>
      <c r="F32" s="11" t="n"/>
      <c r="G32" s="11" t="n"/>
      <c r="H32" s="11" t="n"/>
      <c r="I32" s="11" t="n"/>
      <c r="J32" s="44">
        <f>IF(E32="","",TODAY()-E32)</f>
        <v/>
      </c>
      <c r="K32" s="11">
        <f>IF(OR(E32="",I32=""),"",IF(J32&gt;I32,"STALE","ok"))</f>
        <v/>
      </c>
      <c r="L32" s="11" t="n"/>
      <c r="M32" s="11" t="n"/>
    </row>
    <row r="33">
      <c r="A33" s="9" t="n"/>
      <c r="B33" s="9" t="n"/>
      <c r="C33" s="9" t="n"/>
      <c r="D33" s="9" t="n"/>
      <c r="E33" s="34" t="n"/>
      <c r="F33" s="9" t="n"/>
      <c r="G33" s="9" t="n"/>
      <c r="H33" s="9" t="n"/>
      <c r="I33" s="9" t="n"/>
      <c r="J33" s="43">
        <f>IF(E33="","",TODAY()-E33)</f>
        <v/>
      </c>
      <c r="K33" s="9">
        <f>IF(OR(E33="",I33=""),"",IF(J33&gt;I33,"STALE","ok"))</f>
        <v/>
      </c>
      <c r="L33" s="9" t="n"/>
      <c r="M33" s="9" t="n"/>
    </row>
    <row r="34">
      <c r="A34" s="11" t="n"/>
      <c r="B34" s="11" t="n"/>
      <c r="C34" s="11" t="n"/>
      <c r="D34" s="11" t="n"/>
      <c r="E34" s="37" t="n"/>
      <c r="F34" s="11" t="n"/>
      <c r="G34" s="11" t="n"/>
      <c r="H34" s="11" t="n"/>
      <c r="I34" s="11" t="n"/>
      <c r="J34" s="44">
        <f>IF(E34="","",TODAY()-E34)</f>
        <v/>
      </c>
      <c r="K34" s="11">
        <f>IF(OR(E34="",I34=""),"",IF(J34&gt;I34,"STALE","ok"))</f>
        <v/>
      </c>
      <c r="L34" s="11" t="n"/>
      <c r="M34" s="11" t="n"/>
    </row>
    <row r="35">
      <c r="A35" s="9" t="n"/>
      <c r="B35" s="9" t="n"/>
      <c r="C35" s="9" t="n"/>
      <c r="D35" s="9" t="n"/>
      <c r="E35" s="34" t="n"/>
      <c r="F35" s="9" t="n"/>
      <c r="G35" s="9" t="n"/>
      <c r="H35" s="9" t="n"/>
      <c r="I35" s="9" t="n"/>
      <c r="J35" s="43">
        <f>IF(E35="","",TODAY()-E35)</f>
        <v/>
      </c>
      <c r="K35" s="9">
        <f>IF(OR(E35="",I35=""),"",IF(J35&gt;I35,"STALE","ok"))</f>
        <v/>
      </c>
      <c r="L35" s="9" t="n"/>
      <c r="M35" s="9" t="n"/>
    </row>
    <row r="36">
      <c r="A36" s="11" t="n"/>
      <c r="B36" s="11" t="n"/>
      <c r="C36" s="11" t="n"/>
      <c r="D36" s="11" t="n"/>
      <c r="E36" s="37" t="n"/>
      <c r="F36" s="11" t="n"/>
      <c r="G36" s="11" t="n"/>
      <c r="H36" s="11" t="n"/>
      <c r="I36" s="11" t="n"/>
      <c r="J36" s="44">
        <f>IF(E36="","",TODAY()-E36)</f>
        <v/>
      </c>
      <c r="K36" s="11">
        <f>IF(OR(E36="",I36=""),"",IF(J36&gt;I36,"STALE","ok"))</f>
        <v/>
      </c>
      <c r="L36" s="11" t="n"/>
      <c r="M36" s="11" t="n"/>
    </row>
    <row r="37">
      <c r="A37" s="9" t="n"/>
      <c r="B37" s="9" t="n"/>
      <c r="C37" s="9" t="n"/>
      <c r="D37" s="9" t="n"/>
      <c r="E37" s="34" t="n"/>
      <c r="F37" s="9" t="n"/>
      <c r="G37" s="9" t="n"/>
      <c r="H37" s="9" t="n"/>
      <c r="I37" s="9" t="n"/>
      <c r="J37" s="43">
        <f>IF(E37="","",TODAY()-E37)</f>
        <v/>
      </c>
      <c r="K37" s="9">
        <f>IF(OR(E37="",I37=""),"",IF(J37&gt;I37,"STALE","ok"))</f>
        <v/>
      </c>
      <c r="L37" s="9" t="n"/>
      <c r="M37" s="9" t="n"/>
    </row>
    <row r="38">
      <c r="A38" s="11" t="n"/>
      <c r="B38" s="11" t="n"/>
      <c r="C38" s="11" t="n"/>
      <c r="D38" s="11" t="n"/>
      <c r="E38" s="37" t="n"/>
      <c r="F38" s="11" t="n"/>
      <c r="G38" s="11" t="n"/>
      <c r="H38" s="11" t="n"/>
      <c r="I38" s="11" t="n"/>
      <c r="J38" s="44">
        <f>IF(E38="","",TODAY()-E38)</f>
        <v/>
      </c>
      <c r="K38" s="11">
        <f>IF(OR(E38="",I38=""),"",IF(J38&gt;I38,"STALE","ok"))</f>
        <v/>
      </c>
      <c r="L38" s="11" t="n"/>
      <c r="M38" s="11" t="n"/>
    </row>
    <row r="39">
      <c r="A39" s="9" t="n"/>
      <c r="B39" s="9" t="n"/>
      <c r="C39" s="9" t="n"/>
      <c r="D39" s="9" t="n"/>
      <c r="E39" s="34" t="n"/>
      <c r="F39" s="9" t="n"/>
      <c r="G39" s="9" t="n"/>
      <c r="H39" s="9" t="n"/>
      <c r="I39" s="9" t="n"/>
      <c r="J39" s="43">
        <f>IF(E39="","",TODAY()-E39)</f>
        <v/>
      </c>
      <c r="K39" s="9">
        <f>IF(OR(E39="",I39=""),"",IF(J39&gt;I39,"STALE","ok"))</f>
        <v/>
      </c>
      <c r="L39" s="9" t="n"/>
      <c r="M39" s="9" t="n"/>
    </row>
    <row r="40">
      <c r="A40" s="11" t="n"/>
      <c r="B40" s="11" t="n"/>
      <c r="C40" s="11" t="n"/>
      <c r="D40" s="11" t="n"/>
      <c r="E40" s="37" t="n"/>
      <c r="F40" s="11" t="n"/>
      <c r="G40" s="11" t="n"/>
      <c r="H40" s="11" t="n"/>
      <c r="I40" s="11" t="n"/>
      <c r="J40" s="44">
        <f>IF(E40="","",TODAY()-E40)</f>
        <v/>
      </c>
      <c r="K40" s="11">
        <f>IF(OR(E40="",I40=""),"",IF(J40&gt;I40,"STALE","ok"))</f>
        <v/>
      </c>
      <c r="L40" s="11" t="n"/>
      <c r="M40" s="11" t="n"/>
    </row>
    <row r="41">
      <c r="A41" s="9" t="n"/>
      <c r="B41" s="9" t="n"/>
      <c r="C41" s="9" t="n"/>
      <c r="D41" s="9" t="n"/>
      <c r="E41" s="34" t="n"/>
      <c r="F41" s="9" t="n"/>
      <c r="G41" s="9" t="n"/>
      <c r="H41" s="9" t="n"/>
      <c r="I41" s="9" t="n"/>
      <c r="J41" s="43">
        <f>IF(E41="","",TODAY()-E41)</f>
        <v/>
      </c>
      <c r="K41" s="9">
        <f>IF(OR(E41="",I41=""),"",IF(J41&gt;I41,"STALE","ok"))</f>
        <v/>
      </c>
      <c r="L41" s="9" t="n"/>
      <c r="M41" s="9" t="n"/>
    </row>
    <row r="42">
      <c r="A42" s="11" t="n"/>
      <c r="B42" s="11" t="n"/>
      <c r="C42" s="11" t="n"/>
      <c r="D42" s="11" t="n"/>
      <c r="E42" s="37" t="n"/>
      <c r="F42" s="11" t="n"/>
      <c r="G42" s="11" t="n"/>
      <c r="H42" s="11" t="n"/>
      <c r="I42" s="11" t="n"/>
      <c r="J42" s="44">
        <f>IF(E42="","",TODAY()-E42)</f>
        <v/>
      </c>
      <c r="K42" s="11">
        <f>IF(OR(E42="",I42=""),"",IF(J42&gt;I42,"STALE","ok"))</f>
        <v/>
      </c>
      <c r="L42" s="11" t="n"/>
      <c r="M42" s="11" t="n"/>
    </row>
    <row r="43">
      <c r="A43" s="9" t="n"/>
      <c r="B43" s="9" t="n"/>
      <c r="C43" s="9" t="n"/>
      <c r="D43" s="9" t="n"/>
      <c r="E43" s="34" t="n"/>
      <c r="F43" s="9" t="n"/>
      <c r="G43" s="9" t="n"/>
      <c r="H43" s="9" t="n"/>
      <c r="I43" s="9" t="n"/>
      <c r="J43" s="43">
        <f>IF(E43="","",TODAY()-E43)</f>
        <v/>
      </c>
      <c r="K43" s="9">
        <f>IF(OR(E43="",I43=""),"",IF(J43&gt;I43,"STALE","ok"))</f>
        <v/>
      </c>
      <c r="L43" s="9" t="n"/>
      <c r="M43" s="9" t="n"/>
    </row>
    <row r="44">
      <c r="A44" s="11" t="n"/>
      <c r="B44" s="11" t="n"/>
      <c r="C44" s="11" t="n"/>
      <c r="D44" s="11" t="n"/>
      <c r="E44" s="37" t="n"/>
      <c r="F44" s="11" t="n"/>
      <c r="G44" s="11" t="n"/>
      <c r="H44" s="11" t="n"/>
      <c r="I44" s="11" t="n"/>
      <c r="J44" s="44">
        <f>IF(E44="","",TODAY()-E44)</f>
        <v/>
      </c>
      <c r="K44" s="11">
        <f>IF(OR(E44="",I44=""),"",IF(J44&gt;I44,"STALE","ok"))</f>
        <v/>
      </c>
      <c r="L44" s="11" t="n"/>
      <c r="M44" s="11" t="n"/>
    </row>
    <row r="45">
      <c r="A45" s="9" t="n"/>
      <c r="B45" s="9" t="n"/>
      <c r="C45" s="9" t="n"/>
      <c r="D45" s="9" t="n"/>
      <c r="E45" s="34" t="n"/>
      <c r="F45" s="9" t="n"/>
      <c r="G45" s="9" t="n"/>
      <c r="H45" s="9" t="n"/>
      <c r="I45" s="9" t="n"/>
      <c r="J45" s="43">
        <f>IF(E45="","",TODAY()-E45)</f>
        <v/>
      </c>
      <c r="K45" s="9">
        <f>IF(OR(E45="",I45=""),"",IF(J45&gt;I45,"STALE","ok"))</f>
        <v/>
      </c>
      <c r="L45" s="9" t="n"/>
      <c r="M45" s="9" t="n"/>
    </row>
    <row r="46">
      <c r="A46" s="11" t="n"/>
      <c r="B46" s="11" t="n"/>
      <c r="C46" s="11" t="n"/>
      <c r="D46" s="11" t="n"/>
      <c r="E46" s="37" t="n"/>
      <c r="F46" s="11" t="n"/>
      <c r="G46" s="11" t="n"/>
      <c r="H46" s="11" t="n"/>
      <c r="I46" s="11" t="n"/>
      <c r="J46" s="44">
        <f>IF(E46="","",TODAY()-E46)</f>
        <v/>
      </c>
      <c r="K46" s="11">
        <f>IF(OR(E46="",I46=""),"",IF(J46&gt;I46,"STALE","ok"))</f>
        <v/>
      </c>
      <c r="L46" s="11" t="n"/>
      <c r="M46" s="11" t="n"/>
    </row>
    <row r="47">
      <c r="A47" s="9" t="n"/>
      <c r="B47" s="9" t="n"/>
      <c r="C47" s="9" t="n"/>
      <c r="D47" s="9" t="n"/>
      <c r="E47" s="34" t="n"/>
      <c r="F47" s="9" t="n"/>
      <c r="G47" s="9" t="n"/>
      <c r="H47" s="9" t="n"/>
      <c r="I47" s="9" t="n"/>
      <c r="J47" s="43">
        <f>IF(E47="","",TODAY()-E47)</f>
        <v/>
      </c>
      <c r="K47" s="9">
        <f>IF(OR(E47="",I47=""),"",IF(J47&gt;I47,"STALE","ok"))</f>
        <v/>
      </c>
      <c r="L47" s="9" t="n"/>
      <c r="M47" s="9" t="n"/>
    </row>
    <row r="48">
      <c r="A48" s="11" t="n"/>
      <c r="B48" s="11" t="n"/>
      <c r="C48" s="11" t="n"/>
      <c r="D48" s="11" t="n"/>
      <c r="E48" s="37" t="n"/>
      <c r="F48" s="11" t="n"/>
      <c r="G48" s="11" t="n"/>
      <c r="H48" s="11" t="n"/>
      <c r="I48" s="11" t="n"/>
      <c r="J48" s="44">
        <f>IF(E48="","",TODAY()-E48)</f>
        <v/>
      </c>
      <c r="K48" s="11">
        <f>IF(OR(E48="",I48=""),"",IF(J48&gt;I48,"STALE","ok"))</f>
        <v/>
      </c>
      <c r="L48" s="11" t="n"/>
      <c r="M48" s="11" t="n"/>
    </row>
    <row r="49">
      <c r="A49" s="9" t="n"/>
      <c r="B49" s="9" t="n"/>
      <c r="C49" s="9" t="n"/>
      <c r="D49" s="9" t="n"/>
      <c r="E49" s="34" t="n"/>
      <c r="F49" s="9" t="n"/>
      <c r="G49" s="9" t="n"/>
      <c r="H49" s="9" t="n"/>
      <c r="I49" s="9" t="n"/>
      <c r="J49" s="43">
        <f>IF(E49="","",TODAY()-E49)</f>
        <v/>
      </c>
      <c r="K49" s="9">
        <f>IF(OR(E49="",I49=""),"",IF(J49&gt;I49,"STALE","ok"))</f>
        <v/>
      </c>
      <c r="L49" s="9" t="n"/>
      <c r="M49" s="9" t="n"/>
    </row>
    <row r="50">
      <c r="A50" s="11" t="n"/>
      <c r="B50" s="11" t="n"/>
      <c r="C50" s="11" t="n"/>
      <c r="D50" s="11" t="n"/>
      <c r="E50" s="37" t="n"/>
      <c r="F50" s="11" t="n"/>
      <c r="G50" s="11" t="n"/>
      <c r="H50" s="11" t="n"/>
      <c r="I50" s="11" t="n"/>
      <c r="J50" s="44">
        <f>IF(E50="","",TODAY()-E50)</f>
        <v/>
      </c>
      <c r="K50" s="11">
        <f>IF(OR(E50="",I50=""),"",IF(J50&gt;I50,"STALE","ok"))</f>
        <v/>
      </c>
      <c r="L50" s="11" t="n"/>
      <c r="M50" s="11" t="n"/>
    </row>
    <row r="51">
      <c r="A51" s="9" t="n"/>
      <c r="B51" s="9" t="n"/>
      <c r="C51" s="9" t="n"/>
      <c r="D51" s="9" t="n"/>
      <c r="E51" s="34" t="n"/>
      <c r="F51" s="9" t="n"/>
      <c r="G51" s="9" t="n"/>
      <c r="H51" s="9" t="n"/>
      <c r="I51" s="9" t="n"/>
      <c r="J51" s="43">
        <f>IF(E51="","",TODAY()-E51)</f>
        <v/>
      </c>
      <c r="K51" s="9">
        <f>IF(OR(E51="",I51=""),"",IF(J51&gt;I51,"STALE","ok"))</f>
        <v/>
      </c>
      <c r="L51" s="9" t="n"/>
      <c r="M51" s="9" t="n"/>
    </row>
    <row r="52">
      <c r="A52" s="11" t="n"/>
      <c r="B52" s="11" t="n"/>
      <c r="C52" s="11" t="n"/>
      <c r="D52" s="11" t="n"/>
      <c r="E52" s="37" t="n"/>
      <c r="F52" s="11" t="n"/>
      <c r="G52" s="11" t="n"/>
      <c r="H52" s="11" t="n"/>
      <c r="I52" s="11" t="n"/>
      <c r="J52" s="44">
        <f>IF(E52="","",TODAY()-E52)</f>
        <v/>
      </c>
      <c r="K52" s="11">
        <f>IF(OR(E52="",I52=""),"",IF(J52&gt;I52,"STALE","ok"))</f>
        <v/>
      </c>
      <c r="L52" s="11" t="n"/>
      <c r="M52" s="11" t="n"/>
    </row>
    <row r="53">
      <c r="A53" s="9" t="n"/>
      <c r="B53" s="9" t="n"/>
      <c r="C53" s="9" t="n"/>
      <c r="D53" s="9" t="n"/>
      <c r="E53" s="34" t="n"/>
      <c r="F53" s="9" t="n"/>
      <c r="G53" s="9" t="n"/>
      <c r="H53" s="9" t="n"/>
      <c r="I53" s="9" t="n"/>
      <c r="J53" s="43">
        <f>IF(E53="","",TODAY()-E53)</f>
        <v/>
      </c>
      <c r="K53" s="9">
        <f>IF(OR(E53="",I53=""),"",IF(J53&gt;I53,"STALE","ok"))</f>
        <v/>
      </c>
      <c r="L53" s="9" t="n"/>
      <c r="M53" s="9" t="n"/>
    </row>
    <row r="54">
      <c r="A54" s="11" t="n"/>
      <c r="B54" s="11" t="n"/>
      <c r="C54" s="11" t="n"/>
      <c r="D54" s="11" t="n"/>
      <c r="E54" s="37" t="n"/>
      <c r="F54" s="11" t="n"/>
      <c r="G54" s="11" t="n"/>
      <c r="H54" s="11" t="n"/>
      <c r="I54" s="11" t="n"/>
      <c r="J54" s="44">
        <f>IF(E54="","",TODAY()-E54)</f>
        <v/>
      </c>
      <c r="K54" s="11">
        <f>IF(OR(E54="",I54=""),"",IF(J54&gt;I54,"STALE","ok"))</f>
        <v/>
      </c>
      <c r="L54" s="11" t="n"/>
      <c r="M54" s="11" t="n"/>
    </row>
    <row r="55">
      <c r="A55" s="9" t="n"/>
      <c r="B55" s="9" t="n"/>
      <c r="C55" s="9" t="n"/>
      <c r="D55" s="9" t="n"/>
      <c r="E55" s="34" t="n"/>
      <c r="F55" s="9" t="n"/>
      <c r="G55" s="9" t="n"/>
      <c r="H55" s="9" t="n"/>
      <c r="I55" s="9" t="n"/>
      <c r="J55" s="43">
        <f>IF(E55="","",TODAY()-E55)</f>
        <v/>
      </c>
      <c r="K55" s="9">
        <f>IF(OR(E55="",I55=""),"",IF(J55&gt;I55,"STALE","ok"))</f>
        <v/>
      </c>
      <c r="L55" s="9" t="n"/>
      <c r="M55" s="9" t="n"/>
    </row>
    <row r="56">
      <c r="A56" s="11" t="n"/>
      <c r="B56" s="11" t="n"/>
      <c r="C56" s="11" t="n"/>
      <c r="D56" s="11" t="n"/>
      <c r="E56" s="37" t="n"/>
      <c r="F56" s="11" t="n"/>
      <c r="G56" s="11" t="n"/>
      <c r="H56" s="11" t="n"/>
      <c r="I56" s="11" t="n"/>
      <c r="J56" s="44">
        <f>IF(E56="","",TODAY()-E56)</f>
        <v/>
      </c>
      <c r="K56" s="11">
        <f>IF(OR(E56="",I56=""),"",IF(J56&gt;I56,"STALE","ok"))</f>
        <v/>
      </c>
      <c r="L56" s="11" t="n"/>
      <c r="M56" s="11" t="n"/>
    </row>
    <row r="57">
      <c r="A57" s="9" t="n"/>
      <c r="B57" s="9" t="n"/>
      <c r="C57" s="9" t="n"/>
      <c r="D57" s="9" t="n"/>
      <c r="E57" s="34" t="n"/>
      <c r="F57" s="9" t="n"/>
      <c r="G57" s="9" t="n"/>
      <c r="H57" s="9" t="n"/>
      <c r="I57" s="9" t="n"/>
      <c r="J57" s="43">
        <f>IF(E57="","",TODAY()-E57)</f>
        <v/>
      </c>
      <c r="K57" s="9">
        <f>IF(OR(E57="",I57=""),"",IF(J57&gt;I57,"STALE","ok"))</f>
        <v/>
      </c>
      <c r="L57" s="9" t="n"/>
      <c r="M57" s="9" t="n"/>
    </row>
    <row r="58">
      <c r="A58" s="11" t="n"/>
      <c r="B58" s="11" t="n"/>
      <c r="C58" s="11" t="n"/>
      <c r="D58" s="11" t="n"/>
      <c r="E58" s="37" t="n"/>
      <c r="F58" s="11" t="n"/>
      <c r="G58" s="11" t="n"/>
      <c r="H58" s="11" t="n"/>
      <c r="I58" s="11" t="n"/>
      <c r="J58" s="44">
        <f>IF(E58="","",TODAY()-E58)</f>
        <v/>
      </c>
      <c r="K58" s="11">
        <f>IF(OR(E58="",I58=""),"",IF(J58&gt;I58,"STALE","ok"))</f>
        <v/>
      </c>
      <c r="L58" s="11" t="n"/>
      <c r="M58" s="11" t="n"/>
    </row>
    <row r="59">
      <c r="A59" s="9" t="n"/>
      <c r="B59" s="9" t="n"/>
      <c r="C59" s="9" t="n"/>
      <c r="D59" s="9" t="n"/>
      <c r="E59" s="34" t="n"/>
      <c r="F59" s="9" t="n"/>
      <c r="G59" s="9" t="n"/>
      <c r="H59" s="9" t="n"/>
      <c r="I59" s="9" t="n"/>
      <c r="J59" s="43">
        <f>IF(E59="","",TODAY()-E59)</f>
        <v/>
      </c>
      <c r="K59" s="9">
        <f>IF(OR(E59="",I59=""),"",IF(J59&gt;I59,"STALE","ok"))</f>
        <v/>
      </c>
      <c r="L59" s="9" t="n"/>
      <c r="M59" s="9" t="n"/>
    </row>
    <row r="60">
      <c r="A60" s="11" t="n"/>
      <c r="B60" s="11" t="n"/>
      <c r="C60" s="11" t="n"/>
      <c r="D60" s="11" t="n"/>
      <c r="E60" s="37" t="n"/>
      <c r="F60" s="11" t="n"/>
      <c r="G60" s="11" t="n"/>
      <c r="H60" s="11" t="n"/>
      <c r="I60" s="11" t="n"/>
      <c r="J60" s="44">
        <f>IF(E60="","",TODAY()-E60)</f>
        <v/>
      </c>
      <c r="K60" s="11">
        <f>IF(OR(E60="",I60=""),"",IF(J60&gt;I60,"STALE","ok"))</f>
        <v/>
      </c>
      <c r="L60" s="11" t="n"/>
      <c r="M60" s="11" t="n"/>
    </row>
    <row r="61">
      <c r="A61" s="9" t="n"/>
      <c r="B61" s="9" t="n"/>
      <c r="C61" s="9" t="n"/>
      <c r="D61" s="9" t="n"/>
      <c r="E61" s="34" t="n"/>
      <c r="F61" s="9" t="n"/>
      <c r="G61" s="9" t="n"/>
      <c r="H61" s="9" t="n"/>
      <c r="I61" s="9" t="n"/>
      <c r="J61" s="43">
        <f>IF(E61="","",TODAY()-E61)</f>
        <v/>
      </c>
      <c r="K61" s="9">
        <f>IF(OR(E61="",I61=""),"",IF(J61&gt;I61,"STALE","ok"))</f>
        <v/>
      </c>
      <c r="L61" s="9" t="n"/>
      <c r="M61" s="9" t="n"/>
    </row>
    <row r="62">
      <c r="A62" s="11" t="n"/>
      <c r="B62" s="11" t="n"/>
      <c r="C62" s="11" t="n"/>
      <c r="D62" s="11" t="n"/>
      <c r="E62" s="37" t="n"/>
      <c r="F62" s="11" t="n"/>
      <c r="G62" s="11" t="n"/>
      <c r="H62" s="11" t="n"/>
      <c r="I62" s="11" t="n"/>
      <c r="J62" s="44">
        <f>IF(E62="","",TODAY()-E62)</f>
        <v/>
      </c>
      <c r="K62" s="11">
        <f>IF(OR(E62="",I62=""),"",IF(J62&gt;I62,"STALE","ok"))</f>
        <v/>
      </c>
      <c r="L62" s="11" t="n"/>
      <c r="M62" s="11" t="n"/>
    </row>
    <row r="63">
      <c r="A63" s="9" t="n"/>
      <c r="B63" s="9" t="n"/>
      <c r="C63" s="9" t="n"/>
      <c r="D63" s="9" t="n"/>
      <c r="E63" s="34" t="n"/>
      <c r="F63" s="9" t="n"/>
      <c r="G63" s="9" t="n"/>
      <c r="H63" s="9" t="n"/>
      <c r="I63" s="9" t="n"/>
      <c r="J63" s="43">
        <f>IF(E63="","",TODAY()-E63)</f>
        <v/>
      </c>
      <c r="K63" s="9">
        <f>IF(OR(E63="",I63=""),"",IF(J63&gt;I63,"STALE","ok"))</f>
        <v/>
      </c>
      <c r="L63" s="9" t="n"/>
      <c r="M63" s="9" t="n"/>
    </row>
    <row r="64">
      <c r="A64" s="11" t="n"/>
      <c r="B64" s="11" t="n"/>
      <c r="C64" s="11" t="n"/>
      <c r="D64" s="11" t="n"/>
      <c r="E64" s="37" t="n"/>
      <c r="F64" s="11" t="n"/>
      <c r="G64" s="11" t="n"/>
      <c r="H64" s="11" t="n"/>
      <c r="I64" s="11" t="n"/>
      <c r="J64" s="44">
        <f>IF(E64="","",TODAY()-E64)</f>
        <v/>
      </c>
      <c r="K64" s="11">
        <f>IF(OR(E64="",I64=""),"",IF(J64&gt;I64,"STALE","ok"))</f>
        <v/>
      </c>
      <c r="L64" s="11" t="n"/>
      <c r="M64" s="11" t="n"/>
    </row>
    <row r="65">
      <c r="A65" s="9" t="n"/>
      <c r="B65" s="9" t="n"/>
      <c r="C65" s="9" t="n"/>
      <c r="D65" s="9" t="n"/>
      <c r="E65" s="34" t="n"/>
      <c r="F65" s="9" t="n"/>
      <c r="G65" s="9" t="n"/>
      <c r="H65" s="9" t="n"/>
      <c r="I65" s="9" t="n"/>
      <c r="J65" s="43">
        <f>IF(E65="","",TODAY()-E65)</f>
        <v/>
      </c>
      <c r="K65" s="9">
        <f>IF(OR(E65="",I65=""),"",IF(J65&gt;I65,"STALE","ok"))</f>
        <v/>
      </c>
      <c r="L65" s="9" t="n"/>
      <c r="M65" s="9" t="n"/>
    </row>
    <row r="66">
      <c r="A66" s="11" t="n"/>
      <c r="B66" s="11" t="n"/>
      <c r="C66" s="11" t="n"/>
      <c r="D66" s="11" t="n"/>
      <c r="E66" s="37" t="n"/>
      <c r="F66" s="11" t="n"/>
      <c r="G66" s="11" t="n"/>
      <c r="H66" s="11" t="n"/>
      <c r="I66" s="11" t="n"/>
      <c r="J66" s="44">
        <f>IF(E66="","",TODAY()-E66)</f>
        <v/>
      </c>
      <c r="K66" s="11">
        <f>IF(OR(E66="",I66=""),"",IF(J66&gt;I66,"STALE","ok"))</f>
        <v/>
      </c>
      <c r="L66" s="11" t="n"/>
      <c r="M66" s="11" t="n"/>
    </row>
    <row r="67">
      <c r="A67" s="9" t="n"/>
      <c r="B67" s="9" t="n"/>
      <c r="C67" s="9" t="n"/>
      <c r="D67" s="9" t="n"/>
      <c r="E67" s="34" t="n"/>
      <c r="F67" s="9" t="n"/>
      <c r="G67" s="9" t="n"/>
      <c r="H67" s="9" t="n"/>
      <c r="I67" s="9" t="n"/>
      <c r="J67" s="43">
        <f>IF(E67="","",TODAY()-E67)</f>
        <v/>
      </c>
      <c r="K67" s="9">
        <f>IF(OR(E67="",I67=""),"",IF(J67&gt;I67,"STALE","ok"))</f>
        <v/>
      </c>
      <c r="L67" s="9" t="n"/>
      <c r="M67" s="9" t="n"/>
    </row>
    <row r="68">
      <c r="A68" s="11" t="n"/>
      <c r="B68" s="11" t="n"/>
      <c r="C68" s="11" t="n"/>
      <c r="D68" s="11" t="n"/>
      <c r="E68" s="37" t="n"/>
      <c r="F68" s="11" t="n"/>
      <c r="G68" s="11" t="n"/>
      <c r="H68" s="11" t="n"/>
      <c r="I68" s="11" t="n"/>
      <c r="J68" s="44">
        <f>IF(E68="","",TODAY()-E68)</f>
        <v/>
      </c>
      <c r="K68" s="11">
        <f>IF(OR(E68="",I68=""),"",IF(J68&gt;I68,"STALE","ok"))</f>
        <v/>
      </c>
      <c r="L68" s="11" t="n"/>
      <c r="M68" s="11" t="n"/>
    </row>
    <row r="69">
      <c r="A69" s="9" t="n"/>
      <c r="B69" s="9" t="n"/>
      <c r="C69" s="9" t="n"/>
      <c r="D69" s="9" t="n"/>
      <c r="E69" s="34" t="n"/>
      <c r="F69" s="9" t="n"/>
      <c r="G69" s="9" t="n"/>
      <c r="H69" s="9" t="n"/>
      <c r="I69" s="9" t="n"/>
      <c r="J69" s="43">
        <f>IF(E69="","",TODAY()-E69)</f>
        <v/>
      </c>
      <c r="K69" s="9">
        <f>IF(OR(E69="",I69=""),"",IF(J69&gt;I69,"STALE","ok"))</f>
        <v/>
      </c>
      <c r="L69" s="9" t="n"/>
      <c r="M69" s="9" t="n"/>
    </row>
    <row r="70">
      <c r="A70" s="11" t="n"/>
      <c r="B70" s="11" t="n"/>
      <c r="C70" s="11" t="n"/>
      <c r="D70" s="11" t="n"/>
      <c r="E70" s="37" t="n"/>
      <c r="F70" s="11" t="n"/>
      <c r="G70" s="11" t="n"/>
      <c r="H70" s="11" t="n"/>
      <c r="I70" s="11" t="n"/>
      <c r="J70" s="44">
        <f>IF(E70="","",TODAY()-E70)</f>
        <v/>
      </c>
      <c r="K70" s="11">
        <f>IF(OR(E70="",I70=""),"",IF(J70&gt;I70,"STALE","ok"))</f>
        <v/>
      </c>
      <c r="L70" s="11" t="n"/>
      <c r="M70" s="11" t="n"/>
    </row>
    <row r="71">
      <c r="A71" s="9" t="n"/>
      <c r="B71" s="9" t="n"/>
      <c r="C71" s="9" t="n"/>
      <c r="D71" s="9" t="n"/>
      <c r="E71" s="34" t="n"/>
      <c r="F71" s="9" t="n"/>
      <c r="G71" s="9" t="n"/>
      <c r="H71" s="9" t="n"/>
      <c r="I71" s="9" t="n"/>
      <c r="J71" s="43">
        <f>IF(E71="","",TODAY()-E71)</f>
        <v/>
      </c>
      <c r="K71" s="9">
        <f>IF(OR(E71="",I71=""),"",IF(J71&gt;I71,"STALE","ok"))</f>
        <v/>
      </c>
      <c r="L71" s="9" t="n"/>
      <c r="M71" s="9" t="n"/>
    </row>
    <row r="72">
      <c r="A72" s="11" t="n"/>
      <c r="B72" s="11" t="n"/>
      <c r="C72" s="11" t="n"/>
      <c r="D72" s="11" t="n"/>
      <c r="E72" s="37" t="n"/>
      <c r="F72" s="11" t="n"/>
      <c r="G72" s="11" t="n"/>
      <c r="H72" s="11" t="n"/>
      <c r="I72" s="11" t="n"/>
      <c r="J72" s="44">
        <f>IF(E72="","",TODAY()-E72)</f>
        <v/>
      </c>
      <c r="K72" s="11">
        <f>IF(OR(E72="",I72=""),"",IF(J72&gt;I72,"STALE","ok"))</f>
        <v/>
      </c>
      <c r="L72" s="11" t="n"/>
      <c r="M72" s="11" t="n"/>
    </row>
    <row r="73">
      <c r="A73" s="9" t="n"/>
      <c r="B73" s="9" t="n"/>
      <c r="C73" s="9" t="n"/>
      <c r="D73" s="9" t="n"/>
      <c r="E73" s="34" t="n"/>
      <c r="F73" s="9" t="n"/>
      <c r="G73" s="9" t="n"/>
      <c r="H73" s="9" t="n"/>
      <c r="I73" s="9" t="n"/>
      <c r="J73" s="43">
        <f>IF(E73="","",TODAY()-E73)</f>
        <v/>
      </c>
      <c r="K73" s="9">
        <f>IF(OR(E73="",I73=""),"",IF(J73&gt;I73,"STALE","ok"))</f>
        <v/>
      </c>
      <c r="L73" s="9" t="n"/>
      <c r="M73" s="9" t="n"/>
    </row>
    <row r="74">
      <c r="A74" s="11" t="n"/>
      <c r="B74" s="11" t="n"/>
      <c r="C74" s="11" t="n"/>
      <c r="D74" s="11" t="n"/>
      <c r="E74" s="37" t="n"/>
      <c r="F74" s="11" t="n"/>
      <c r="G74" s="11" t="n"/>
      <c r="H74" s="11" t="n"/>
      <c r="I74" s="11" t="n"/>
      <c r="J74" s="44">
        <f>IF(E74="","",TODAY()-E74)</f>
        <v/>
      </c>
      <c r="K74" s="11">
        <f>IF(OR(E74="",I74=""),"",IF(J74&gt;I74,"STALE","ok"))</f>
        <v/>
      </c>
      <c r="L74" s="11" t="n"/>
      <c r="M74" s="11" t="n"/>
    </row>
    <row r="75">
      <c r="A75" s="9" t="n"/>
      <c r="B75" s="9" t="n"/>
      <c r="C75" s="9" t="n"/>
      <c r="D75" s="9" t="n"/>
      <c r="E75" s="34" t="n"/>
      <c r="F75" s="9" t="n"/>
      <c r="G75" s="9" t="n"/>
      <c r="H75" s="9" t="n"/>
      <c r="I75" s="9" t="n"/>
      <c r="J75" s="43">
        <f>IF(E75="","",TODAY()-E75)</f>
        <v/>
      </c>
      <c r="K75" s="9">
        <f>IF(OR(E75="",I75=""),"",IF(J75&gt;I75,"STALE","ok"))</f>
        <v/>
      </c>
      <c r="L75" s="9" t="n"/>
      <c r="M75" s="9" t="n"/>
    </row>
    <row r="76">
      <c r="A76" s="11" t="n"/>
      <c r="B76" s="11" t="n"/>
      <c r="C76" s="11" t="n"/>
      <c r="D76" s="11" t="n"/>
      <c r="E76" s="37" t="n"/>
      <c r="F76" s="11" t="n"/>
      <c r="G76" s="11" t="n"/>
      <c r="H76" s="11" t="n"/>
      <c r="I76" s="11" t="n"/>
      <c r="J76" s="44">
        <f>IF(E76="","",TODAY()-E76)</f>
        <v/>
      </c>
      <c r="K76" s="11">
        <f>IF(OR(E76="",I76=""),"",IF(J76&gt;I76,"STALE","ok"))</f>
        <v/>
      </c>
      <c r="L76" s="11" t="n"/>
      <c r="M76" s="11" t="n"/>
    </row>
    <row r="77">
      <c r="A77" s="9" t="n"/>
      <c r="B77" s="9" t="n"/>
      <c r="C77" s="9" t="n"/>
      <c r="D77" s="9" t="n"/>
      <c r="E77" s="34" t="n"/>
      <c r="F77" s="9" t="n"/>
      <c r="G77" s="9" t="n"/>
      <c r="H77" s="9" t="n"/>
      <c r="I77" s="9" t="n"/>
      <c r="J77" s="43">
        <f>IF(E77="","",TODAY()-E77)</f>
        <v/>
      </c>
      <c r="K77" s="9">
        <f>IF(OR(E77="",I77=""),"",IF(J77&gt;I77,"STALE","ok"))</f>
        <v/>
      </c>
      <c r="L77" s="9" t="n"/>
      <c r="M77" s="9" t="n"/>
    </row>
    <row r="78">
      <c r="A78" s="11" t="n"/>
      <c r="B78" s="11" t="n"/>
      <c r="C78" s="11" t="n"/>
      <c r="D78" s="11" t="n"/>
      <c r="E78" s="37" t="n"/>
      <c r="F78" s="11" t="n"/>
      <c r="G78" s="11" t="n"/>
      <c r="H78" s="11" t="n"/>
      <c r="I78" s="11" t="n"/>
      <c r="J78" s="44">
        <f>IF(E78="","",TODAY()-E78)</f>
        <v/>
      </c>
      <c r="K78" s="11">
        <f>IF(OR(E78="",I78=""),"",IF(J78&gt;I78,"STALE","ok"))</f>
        <v/>
      </c>
      <c r="L78" s="11" t="n"/>
      <c r="M78" s="11" t="n"/>
    </row>
    <row r="79">
      <c r="A79" s="9" t="n"/>
      <c r="B79" s="9" t="n"/>
      <c r="C79" s="9" t="n"/>
      <c r="D79" s="9" t="n"/>
      <c r="E79" s="34" t="n"/>
      <c r="F79" s="9" t="n"/>
      <c r="G79" s="9" t="n"/>
      <c r="H79" s="9" t="n"/>
      <c r="I79" s="9" t="n"/>
      <c r="J79" s="43">
        <f>IF(E79="","",TODAY()-E79)</f>
        <v/>
      </c>
      <c r="K79" s="9">
        <f>IF(OR(E79="",I79=""),"",IF(J79&gt;I79,"STALE","ok"))</f>
        <v/>
      </c>
      <c r="L79" s="9" t="n"/>
      <c r="M79" s="9" t="n"/>
    </row>
    <row r="80">
      <c r="A80" s="11" t="n"/>
      <c r="B80" s="11" t="n"/>
      <c r="C80" s="11" t="n"/>
      <c r="D80" s="11" t="n"/>
      <c r="E80" s="37" t="n"/>
      <c r="F80" s="11" t="n"/>
      <c r="G80" s="11" t="n"/>
      <c r="H80" s="11" t="n"/>
      <c r="I80" s="11" t="n"/>
      <c r="J80" s="44">
        <f>IF(E80="","",TODAY()-E80)</f>
        <v/>
      </c>
      <c r="K80" s="11">
        <f>IF(OR(E80="",I80=""),"",IF(J80&gt;I80,"STALE","ok"))</f>
        <v/>
      </c>
      <c r="L80" s="11" t="n"/>
      <c r="M80" s="11" t="n"/>
    </row>
    <row r="81">
      <c r="A81" s="9" t="n"/>
      <c r="B81" s="9" t="n"/>
      <c r="C81" s="9" t="n"/>
      <c r="D81" s="9" t="n"/>
      <c r="E81" s="34" t="n"/>
      <c r="F81" s="9" t="n"/>
      <c r="G81" s="9" t="n"/>
      <c r="H81" s="9" t="n"/>
      <c r="I81" s="9" t="n"/>
      <c r="J81" s="43">
        <f>IF(E81="","",TODAY()-E81)</f>
        <v/>
      </c>
      <c r="K81" s="9">
        <f>IF(OR(E81="",I81=""),"",IF(J81&gt;I81,"STALE","ok"))</f>
        <v/>
      </c>
      <c r="L81" s="9" t="n"/>
      <c r="M81" s="9" t="n"/>
    </row>
    <row r="82">
      <c r="A82" s="11" t="n"/>
      <c r="B82" s="11" t="n"/>
      <c r="C82" s="11" t="n"/>
      <c r="D82" s="11" t="n"/>
      <c r="E82" s="37" t="n"/>
      <c r="F82" s="11" t="n"/>
      <c r="G82" s="11" t="n"/>
      <c r="H82" s="11" t="n"/>
      <c r="I82" s="11" t="n"/>
      <c r="J82" s="44">
        <f>IF(E82="","",TODAY()-E82)</f>
        <v/>
      </c>
      <c r="K82" s="11">
        <f>IF(OR(E82="",I82=""),"",IF(J82&gt;I82,"STALE","ok"))</f>
        <v/>
      </c>
      <c r="L82" s="11" t="n"/>
      <c r="M82" s="11" t="n"/>
    </row>
    <row r="83">
      <c r="A83" s="9" t="n"/>
      <c r="B83" s="9" t="n"/>
      <c r="C83" s="9" t="n"/>
      <c r="D83" s="9" t="n"/>
      <c r="E83" s="34" t="n"/>
      <c r="F83" s="9" t="n"/>
      <c r="G83" s="9" t="n"/>
      <c r="H83" s="9" t="n"/>
      <c r="I83" s="9" t="n"/>
      <c r="J83" s="43">
        <f>IF(E83="","",TODAY()-E83)</f>
        <v/>
      </c>
      <c r="K83" s="9">
        <f>IF(OR(E83="",I83=""),"",IF(J83&gt;I83,"STALE","ok"))</f>
        <v/>
      </c>
      <c r="L83" s="9" t="n"/>
      <c r="M83" s="9" t="n"/>
    </row>
    <row r="84">
      <c r="A84" s="11" t="n"/>
      <c r="B84" s="11" t="n"/>
      <c r="C84" s="11" t="n"/>
      <c r="D84" s="11" t="n"/>
      <c r="E84" s="37" t="n"/>
      <c r="F84" s="11" t="n"/>
      <c r="G84" s="11" t="n"/>
      <c r="H84" s="11" t="n"/>
      <c r="I84" s="11" t="n"/>
      <c r="J84" s="44">
        <f>IF(E84="","",TODAY()-E84)</f>
        <v/>
      </c>
      <c r="K84" s="11">
        <f>IF(OR(E84="",I84=""),"",IF(J84&gt;I84,"STALE","ok"))</f>
        <v/>
      </c>
      <c r="L84" s="11" t="n"/>
      <c r="M84" s="11" t="n"/>
    </row>
    <row r="85">
      <c r="A85" s="9" t="n"/>
      <c r="B85" s="9" t="n"/>
      <c r="C85" s="9" t="n"/>
      <c r="D85" s="9" t="n"/>
      <c r="E85" s="34" t="n"/>
      <c r="F85" s="9" t="n"/>
      <c r="G85" s="9" t="n"/>
      <c r="H85" s="9" t="n"/>
      <c r="I85" s="9" t="n"/>
      <c r="J85" s="43">
        <f>IF(E85="","",TODAY()-E85)</f>
        <v/>
      </c>
      <c r="K85" s="9">
        <f>IF(OR(E85="",I85=""),"",IF(J85&gt;I85,"STALE","ok"))</f>
        <v/>
      </c>
      <c r="L85" s="9" t="n"/>
      <c r="M85" s="9" t="n"/>
    </row>
    <row r="86">
      <c r="A86" s="11" t="n"/>
      <c r="B86" s="11" t="n"/>
      <c r="C86" s="11" t="n"/>
      <c r="D86" s="11" t="n"/>
      <c r="E86" s="37" t="n"/>
      <c r="F86" s="11" t="n"/>
      <c r="G86" s="11" t="n"/>
      <c r="H86" s="11" t="n"/>
      <c r="I86" s="11" t="n"/>
      <c r="J86" s="44">
        <f>IF(E86="","",TODAY()-E86)</f>
        <v/>
      </c>
      <c r="K86" s="11">
        <f>IF(OR(E86="",I86=""),"",IF(J86&gt;I86,"STALE","ok"))</f>
        <v/>
      </c>
      <c r="L86" s="11" t="n"/>
      <c r="M86" s="11" t="n"/>
    </row>
    <row r="87">
      <c r="A87" s="9" t="n"/>
      <c r="B87" s="9" t="n"/>
      <c r="C87" s="9" t="n"/>
      <c r="D87" s="9" t="n"/>
      <c r="E87" s="34" t="n"/>
      <c r="F87" s="9" t="n"/>
      <c r="G87" s="9" t="n"/>
      <c r="H87" s="9" t="n"/>
      <c r="I87" s="9" t="n"/>
      <c r="J87" s="43">
        <f>IF(E87="","",TODAY()-E87)</f>
        <v/>
      </c>
      <c r="K87" s="9">
        <f>IF(OR(E87="",I87=""),"",IF(J87&gt;I87,"STALE","ok"))</f>
        <v/>
      </c>
      <c r="L87" s="9" t="n"/>
      <c r="M87" s="9" t="n"/>
    </row>
    <row r="88">
      <c r="A88" s="11" t="n"/>
      <c r="B88" s="11" t="n"/>
      <c r="C88" s="11" t="n"/>
      <c r="D88" s="11" t="n"/>
      <c r="E88" s="37" t="n"/>
      <c r="F88" s="11" t="n"/>
      <c r="G88" s="11" t="n"/>
      <c r="H88" s="11" t="n"/>
      <c r="I88" s="11" t="n"/>
      <c r="J88" s="44">
        <f>IF(E88="","",TODAY()-E88)</f>
        <v/>
      </c>
      <c r="K88" s="11">
        <f>IF(OR(E88="",I88=""),"",IF(J88&gt;I88,"STALE","ok"))</f>
        <v/>
      </c>
      <c r="L88" s="11" t="n"/>
      <c r="M88" s="11" t="n"/>
    </row>
    <row r="89">
      <c r="A89" s="9" t="n"/>
      <c r="B89" s="9" t="n"/>
      <c r="C89" s="9" t="n"/>
      <c r="D89" s="9" t="n"/>
      <c r="E89" s="34" t="n"/>
      <c r="F89" s="9" t="n"/>
      <c r="G89" s="9" t="n"/>
      <c r="H89" s="9" t="n"/>
      <c r="I89" s="9" t="n"/>
      <c r="J89" s="43">
        <f>IF(E89="","",TODAY()-E89)</f>
        <v/>
      </c>
      <c r="K89" s="9">
        <f>IF(OR(E89="",I89=""),"",IF(J89&gt;I89,"STALE","ok"))</f>
        <v/>
      </c>
      <c r="L89" s="9" t="n"/>
      <c r="M89" s="9" t="n"/>
    </row>
    <row r="90">
      <c r="A90" s="11" t="n"/>
      <c r="B90" s="11" t="n"/>
      <c r="C90" s="11" t="n"/>
      <c r="D90" s="11" t="n"/>
      <c r="E90" s="37" t="n"/>
      <c r="F90" s="11" t="n"/>
      <c r="G90" s="11" t="n"/>
      <c r="H90" s="11" t="n"/>
      <c r="I90" s="11" t="n"/>
      <c r="J90" s="44">
        <f>IF(E90="","",TODAY()-E90)</f>
        <v/>
      </c>
      <c r="K90" s="11">
        <f>IF(OR(E90="",I90=""),"",IF(J90&gt;I90,"STALE","ok"))</f>
        <v/>
      </c>
      <c r="L90" s="11" t="n"/>
      <c r="M90" s="11" t="n"/>
    </row>
    <row r="91">
      <c r="A91" s="9" t="n"/>
      <c r="B91" s="9" t="n"/>
      <c r="C91" s="9" t="n"/>
      <c r="D91" s="9" t="n"/>
      <c r="E91" s="34" t="n"/>
      <c r="F91" s="9" t="n"/>
      <c r="G91" s="9" t="n"/>
      <c r="H91" s="9" t="n"/>
      <c r="I91" s="9" t="n"/>
      <c r="J91" s="43">
        <f>IF(E91="","",TODAY()-E91)</f>
        <v/>
      </c>
      <c r="K91" s="9">
        <f>IF(OR(E91="",I91=""),"",IF(J91&gt;I91,"STALE","ok"))</f>
        <v/>
      </c>
      <c r="L91" s="9" t="n"/>
      <c r="M91" s="9" t="n"/>
    </row>
    <row r="92">
      <c r="A92" s="11" t="n"/>
      <c r="B92" s="11" t="n"/>
      <c r="C92" s="11" t="n"/>
      <c r="D92" s="11" t="n"/>
      <c r="E92" s="37" t="n"/>
      <c r="F92" s="11" t="n"/>
      <c r="G92" s="11" t="n"/>
      <c r="H92" s="11" t="n"/>
      <c r="I92" s="11" t="n"/>
      <c r="J92" s="44">
        <f>IF(E92="","",TODAY()-E92)</f>
        <v/>
      </c>
      <c r="K92" s="11">
        <f>IF(OR(E92="",I92=""),"",IF(J92&gt;I92,"STALE","ok"))</f>
        <v/>
      </c>
      <c r="L92" s="11" t="n"/>
      <c r="M92" s="11" t="n"/>
    </row>
    <row r="93">
      <c r="A93" s="9" t="n"/>
      <c r="B93" s="9" t="n"/>
      <c r="C93" s="9" t="n"/>
      <c r="D93" s="9" t="n"/>
      <c r="E93" s="34" t="n"/>
      <c r="F93" s="9" t="n"/>
      <c r="G93" s="9" t="n"/>
      <c r="H93" s="9" t="n"/>
      <c r="I93" s="9" t="n"/>
      <c r="J93" s="43">
        <f>IF(E93="","",TODAY()-E93)</f>
        <v/>
      </c>
      <c r="K93" s="9">
        <f>IF(OR(E93="",I93=""),"",IF(J93&gt;I93,"STALE","ok"))</f>
        <v/>
      </c>
      <c r="L93" s="9" t="n"/>
      <c r="M93" s="9" t="n"/>
    </row>
    <row r="94">
      <c r="A94" s="11" t="n"/>
      <c r="B94" s="11" t="n"/>
      <c r="C94" s="11" t="n"/>
      <c r="D94" s="11" t="n"/>
      <c r="E94" s="37" t="n"/>
      <c r="F94" s="11" t="n"/>
      <c r="G94" s="11" t="n"/>
      <c r="H94" s="11" t="n"/>
      <c r="I94" s="11" t="n"/>
      <c r="J94" s="44">
        <f>IF(E94="","",TODAY()-E94)</f>
        <v/>
      </c>
      <c r="K94" s="11">
        <f>IF(OR(E94="",I94=""),"",IF(J94&gt;I94,"STALE","ok"))</f>
        <v/>
      </c>
      <c r="L94" s="11" t="n"/>
      <c r="M94" s="11" t="n"/>
    </row>
    <row r="95">
      <c r="A95" s="9" t="n"/>
      <c r="B95" s="9" t="n"/>
      <c r="C95" s="9" t="n"/>
      <c r="D95" s="9" t="n"/>
      <c r="E95" s="34" t="n"/>
      <c r="F95" s="9" t="n"/>
      <c r="G95" s="9" t="n"/>
      <c r="H95" s="9" t="n"/>
      <c r="I95" s="9" t="n"/>
      <c r="J95" s="43">
        <f>IF(E95="","",TODAY()-E95)</f>
        <v/>
      </c>
      <c r="K95" s="9">
        <f>IF(OR(E95="",I95=""),"",IF(J95&gt;I95,"STALE","ok"))</f>
        <v/>
      </c>
      <c r="L95" s="9" t="n"/>
      <c r="M95" s="9" t="n"/>
    </row>
    <row r="96">
      <c r="A96" s="11" t="n"/>
      <c r="B96" s="11" t="n"/>
      <c r="C96" s="11" t="n"/>
      <c r="D96" s="11" t="n"/>
      <c r="E96" s="37" t="n"/>
      <c r="F96" s="11" t="n"/>
      <c r="G96" s="11" t="n"/>
      <c r="H96" s="11" t="n"/>
      <c r="I96" s="11" t="n"/>
      <c r="J96" s="44">
        <f>IF(E96="","",TODAY()-E96)</f>
        <v/>
      </c>
      <c r="K96" s="11">
        <f>IF(OR(E96="",I96=""),"",IF(J96&gt;I96,"STALE","ok"))</f>
        <v/>
      </c>
      <c r="L96" s="11" t="n"/>
      <c r="M96" s="11" t="n"/>
    </row>
    <row r="97">
      <c r="A97" s="9" t="n"/>
      <c r="B97" s="9" t="n"/>
      <c r="C97" s="9" t="n"/>
      <c r="D97" s="9" t="n"/>
      <c r="E97" s="34" t="n"/>
      <c r="F97" s="9" t="n"/>
      <c r="G97" s="9" t="n"/>
      <c r="H97" s="9" t="n"/>
      <c r="I97" s="9" t="n"/>
      <c r="J97" s="43">
        <f>IF(E97="","",TODAY()-E97)</f>
        <v/>
      </c>
      <c r="K97" s="9">
        <f>IF(OR(E97="",I97=""),"",IF(J97&gt;I97,"STALE","ok"))</f>
        <v/>
      </c>
      <c r="L97" s="9" t="n"/>
      <c r="M97" s="9" t="n"/>
    </row>
    <row r="98">
      <c r="A98" s="11" t="n"/>
      <c r="B98" s="11" t="n"/>
      <c r="C98" s="11" t="n"/>
      <c r="D98" s="11" t="n"/>
      <c r="E98" s="37" t="n"/>
      <c r="F98" s="11" t="n"/>
      <c r="G98" s="11" t="n"/>
      <c r="H98" s="11" t="n"/>
      <c r="I98" s="11" t="n"/>
      <c r="J98" s="44">
        <f>IF(E98="","",TODAY()-E98)</f>
        <v/>
      </c>
      <c r="K98" s="11">
        <f>IF(OR(E98="",I98=""),"",IF(J98&gt;I98,"STALE","ok"))</f>
        <v/>
      </c>
      <c r="L98" s="11" t="n"/>
      <c r="M98" s="11" t="n"/>
    </row>
    <row r="99">
      <c r="A99" s="9" t="n"/>
      <c r="B99" s="9" t="n"/>
      <c r="C99" s="9" t="n"/>
      <c r="D99" s="9" t="n"/>
      <c r="E99" s="34" t="n"/>
      <c r="F99" s="9" t="n"/>
      <c r="G99" s="9" t="n"/>
      <c r="H99" s="9" t="n"/>
      <c r="I99" s="9" t="n"/>
      <c r="J99" s="43">
        <f>IF(E99="","",TODAY()-E99)</f>
        <v/>
      </c>
      <c r="K99" s="9">
        <f>IF(OR(E99="",I99=""),"",IF(J99&gt;I99,"STALE","ok"))</f>
        <v/>
      </c>
      <c r="L99" s="9" t="n"/>
      <c r="M99" s="9" t="n"/>
    </row>
    <row r="100">
      <c r="A100" s="11" t="n"/>
      <c r="B100" s="11" t="n"/>
      <c r="C100" s="11" t="n"/>
      <c r="D100" s="11" t="n"/>
      <c r="E100" s="37" t="n"/>
      <c r="F100" s="11" t="n"/>
      <c r="G100" s="11" t="n"/>
      <c r="H100" s="11" t="n"/>
      <c r="I100" s="11" t="n"/>
      <c r="J100" s="44">
        <f>IF(E100="","",TODAY()-E100)</f>
        <v/>
      </c>
      <c r="K100" s="11">
        <f>IF(OR(E100="",I100=""),"",IF(J100&gt;I100,"STALE","ok"))</f>
        <v/>
      </c>
      <c r="L100" s="11" t="n"/>
      <c r="M100" s="11" t="n"/>
    </row>
    <row r="101">
      <c r="A101" s="9" t="n"/>
      <c r="B101" s="9" t="n"/>
      <c r="C101" s="9" t="n"/>
      <c r="D101" s="9" t="n"/>
      <c r="E101" s="34" t="n"/>
      <c r="F101" s="9" t="n"/>
      <c r="G101" s="9" t="n"/>
      <c r="H101" s="9" t="n"/>
      <c r="I101" s="9" t="n"/>
      <c r="J101" s="43">
        <f>IF(E101="","",TODAY()-E101)</f>
        <v/>
      </c>
      <c r="K101" s="9">
        <f>IF(OR(E101="",I101=""),"",IF(J101&gt;I101,"STALE","ok"))</f>
        <v/>
      </c>
      <c r="L101" s="9" t="n"/>
      <c r="M101" s="9" t="n"/>
    </row>
    <row r="102">
      <c r="A102" s="11" t="n"/>
      <c r="B102" s="11" t="n"/>
      <c r="C102" s="11" t="n"/>
      <c r="D102" s="11" t="n"/>
      <c r="E102" s="37" t="n"/>
      <c r="F102" s="11" t="n"/>
      <c r="G102" s="11" t="n"/>
      <c r="H102" s="11" t="n"/>
      <c r="I102" s="11" t="n"/>
      <c r="J102" s="44">
        <f>IF(E102="","",TODAY()-E102)</f>
        <v/>
      </c>
      <c r="K102" s="11">
        <f>IF(OR(E102="",I102=""),"",IF(J102&gt;I102,"STALE","ok"))</f>
        <v/>
      </c>
      <c r="L102" s="11" t="n"/>
      <c r="M102" s="11" t="n"/>
    </row>
    <row r="103">
      <c r="A103" s="9" t="n"/>
      <c r="B103" s="9" t="n"/>
      <c r="C103" s="9" t="n"/>
      <c r="D103" s="9" t="n"/>
      <c r="E103" s="34" t="n"/>
      <c r="F103" s="9" t="n"/>
      <c r="G103" s="9" t="n"/>
      <c r="H103" s="9" t="n"/>
      <c r="I103" s="9" t="n"/>
      <c r="J103" s="43">
        <f>IF(E103="","",TODAY()-E103)</f>
        <v/>
      </c>
      <c r="K103" s="9">
        <f>IF(OR(E103="",I103=""),"",IF(J103&gt;I103,"STALE","ok"))</f>
        <v/>
      </c>
      <c r="L103" s="9" t="n"/>
      <c r="M103" s="9" t="n"/>
    </row>
    <row r="104">
      <c r="A104" s="11" t="n"/>
      <c r="B104" s="11" t="n"/>
      <c r="C104" s="11" t="n"/>
      <c r="D104" s="11" t="n"/>
      <c r="E104" s="37" t="n"/>
      <c r="F104" s="11" t="n"/>
      <c r="G104" s="11" t="n"/>
      <c r="H104" s="11" t="n"/>
      <c r="I104" s="11" t="n"/>
      <c r="J104" s="44">
        <f>IF(E104="","",TODAY()-E104)</f>
        <v/>
      </c>
      <c r="K104" s="11">
        <f>IF(OR(E104="",I104=""),"",IF(J104&gt;I104,"STALE","ok"))</f>
        <v/>
      </c>
      <c r="L104" s="11" t="n"/>
      <c r="M104" s="11" t="n"/>
    </row>
    <row r="105">
      <c r="A105" s="9" t="n"/>
      <c r="B105" s="9" t="n"/>
      <c r="C105" s="9" t="n"/>
      <c r="D105" s="9" t="n"/>
      <c r="E105" s="34" t="n"/>
      <c r="F105" s="9" t="n"/>
      <c r="G105" s="9" t="n"/>
      <c r="H105" s="9" t="n"/>
      <c r="I105" s="9" t="n"/>
      <c r="J105" s="43">
        <f>IF(E105="","",TODAY()-E105)</f>
        <v/>
      </c>
      <c r="K105" s="9">
        <f>IF(OR(E105="",I105=""),"",IF(J105&gt;I105,"STALE","ok"))</f>
        <v/>
      </c>
      <c r="L105" s="9" t="n"/>
      <c r="M105" s="9" t="n"/>
    </row>
    <row r="106">
      <c r="A106" s="11" t="n"/>
      <c r="B106" s="11" t="n"/>
      <c r="C106" s="11" t="n"/>
      <c r="D106" s="11" t="n"/>
      <c r="E106" s="37" t="n"/>
      <c r="F106" s="11" t="n"/>
      <c r="G106" s="11" t="n"/>
      <c r="H106" s="11" t="n"/>
      <c r="I106" s="11" t="n"/>
      <c r="J106" s="44">
        <f>IF(E106="","",TODAY()-E106)</f>
        <v/>
      </c>
      <c r="K106" s="11">
        <f>IF(OR(E106="",I106=""),"",IF(J106&gt;I106,"STALE","ok"))</f>
        <v/>
      </c>
      <c r="L106" s="11" t="n"/>
      <c r="M106" s="11" t="n"/>
    </row>
    <row r="107">
      <c r="A107" s="9" t="n"/>
      <c r="B107" s="9" t="n"/>
      <c r="C107" s="9" t="n"/>
      <c r="D107" s="9" t="n"/>
      <c r="E107" s="34" t="n"/>
      <c r="F107" s="9" t="n"/>
      <c r="G107" s="9" t="n"/>
      <c r="H107" s="9" t="n"/>
      <c r="I107" s="9" t="n"/>
      <c r="J107" s="43">
        <f>IF(E107="","",TODAY()-E107)</f>
        <v/>
      </c>
      <c r="K107" s="9">
        <f>IF(OR(E107="",I107=""),"",IF(J107&gt;I107,"STALE","ok"))</f>
        <v/>
      </c>
      <c r="L107" s="9" t="n"/>
      <c r="M107" s="9" t="n"/>
    </row>
    <row r="108">
      <c r="A108" s="11" t="n"/>
      <c r="B108" s="11" t="n"/>
      <c r="C108" s="11" t="n"/>
      <c r="D108" s="11" t="n"/>
      <c r="E108" s="37" t="n"/>
      <c r="F108" s="11" t="n"/>
      <c r="G108" s="11" t="n"/>
      <c r="H108" s="11" t="n"/>
      <c r="I108" s="11" t="n"/>
      <c r="J108" s="44">
        <f>IF(E108="","",TODAY()-E108)</f>
        <v/>
      </c>
      <c r="K108" s="11">
        <f>IF(OR(E108="",I108=""),"",IF(J108&gt;I108,"STALE","ok"))</f>
        <v/>
      </c>
      <c r="L108" s="11" t="n"/>
      <c r="M108" s="11" t="n"/>
    </row>
    <row r="109">
      <c r="A109" s="9" t="n"/>
      <c r="B109" s="9" t="n"/>
      <c r="C109" s="9" t="n"/>
      <c r="D109" s="9" t="n"/>
      <c r="E109" s="34" t="n"/>
      <c r="F109" s="9" t="n"/>
      <c r="G109" s="9" t="n"/>
      <c r="H109" s="9" t="n"/>
      <c r="I109" s="9" t="n"/>
      <c r="J109" s="43">
        <f>IF(E109="","",TODAY()-E109)</f>
        <v/>
      </c>
      <c r="K109" s="9">
        <f>IF(OR(E109="",I109=""),"",IF(J109&gt;I109,"STALE","ok"))</f>
        <v/>
      </c>
      <c r="L109" s="9" t="n"/>
      <c r="M109" s="9" t="n"/>
    </row>
    <row r="110">
      <c r="A110" s="11" t="n"/>
      <c r="B110" s="11" t="n"/>
      <c r="C110" s="11" t="n"/>
      <c r="D110" s="11" t="n"/>
      <c r="E110" s="37" t="n"/>
      <c r="F110" s="11" t="n"/>
      <c r="G110" s="11" t="n"/>
      <c r="H110" s="11" t="n"/>
      <c r="I110" s="11" t="n"/>
      <c r="J110" s="44">
        <f>IF(E110="","",TODAY()-E110)</f>
        <v/>
      </c>
      <c r="K110" s="11">
        <f>IF(OR(E110="",I110=""),"",IF(J110&gt;I110,"STALE","ok"))</f>
        <v/>
      </c>
      <c r="L110" s="11" t="n"/>
      <c r="M110" s="11" t="n"/>
    </row>
    <row r="111">
      <c r="A111" s="9" t="n"/>
      <c r="B111" s="9" t="n"/>
      <c r="C111" s="9" t="n"/>
      <c r="D111" s="9" t="n"/>
      <c r="E111" s="34" t="n"/>
      <c r="F111" s="9" t="n"/>
      <c r="G111" s="9" t="n"/>
      <c r="H111" s="9" t="n"/>
      <c r="I111" s="9" t="n"/>
      <c r="J111" s="43">
        <f>IF(E111="","",TODAY()-E111)</f>
        <v/>
      </c>
      <c r="K111" s="9">
        <f>IF(OR(E111="",I111=""),"",IF(J111&gt;I111,"STALE","ok"))</f>
        <v/>
      </c>
      <c r="L111" s="9" t="n"/>
      <c r="M111" s="9" t="n"/>
    </row>
    <row r="112">
      <c r="A112" s="11" t="n"/>
      <c r="B112" s="11" t="n"/>
      <c r="C112" s="11" t="n"/>
      <c r="D112" s="11" t="n"/>
      <c r="E112" s="37" t="n"/>
      <c r="F112" s="11" t="n"/>
      <c r="G112" s="11" t="n"/>
      <c r="H112" s="11" t="n"/>
      <c r="I112" s="11" t="n"/>
      <c r="J112" s="44">
        <f>IF(E112="","",TODAY()-E112)</f>
        <v/>
      </c>
      <c r="K112" s="11">
        <f>IF(OR(E112="",I112=""),"",IF(J112&gt;I112,"STALE","ok"))</f>
        <v/>
      </c>
      <c r="L112" s="11" t="n"/>
      <c r="M112" s="11" t="n"/>
    </row>
    <row r="113">
      <c r="A113" s="9" t="n"/>
      <c r="B113" s="9" t="n"/>
      <c r="C113" s="9" t="n"/>
      <c r="D113" s="9" t="n"/>
      <c r="E113" s="34" t="n"/>
      <c r="F113" s="9" t="n"/>
      <c r="G113" s="9" t="n"/>
      <c r="H113" s="9" t="n"/>
      <c r="I113" s="9" t="n"/>
      <c r="J113" s="43">
        <f>IF(E113="","",TODAY()-E113)</f>
        <v/>
      </c>
      <c r="K113" s="9">
        <f>IF(OR(E113="",I113=""),"",IF(J113&gt;I113,"STALE","ok"))</f>
        <v/>
      </c>
      <c r="L113" s="9" t="n"/>
      <c r="M113" s="9" t="n"/>
    </row>
    <row r="114">
      <c r="A114" s="11" t="n"/>
      <c r="B114" s="11" t="n"/>
      <c r="C114" s="11" t="n"/>
      <c r="D114" s="11" t="n"/>
      <c r="E114" s="37" t="n"/>
      <c r="F114" s="11" t="n"/>
      <c r="G114" s="11" t="n"/>
      <c r="H114" s="11" t="n"/>
      <c r="I114" s="11" t="n"/>
      <c r="J114" s="44">
        <f>IF(E114="","",TODAY()-E114)</f>
        <v/>
      </c>
      <c r="K114" s="11">
        <f>IF(OR(E114="",I114=""),"",IF(J114&gt;I114,"STALE","ok"))</f>
        <v/>
      </c>
      <c r="L114" s="11" t="n"/>
      <c r="M114" s="11" t="n"/>
    </row>
    <row r="115">
      <c r="A115" s="9" t="n"/>
      <c r="B115" s="9" t="n"/>
      <c r="C115" s="9" t="n"/>
      <c r="D115" s="9" t="n"/>
      <c r="E115" s="34" t="n"/>
      <c r="F115" s="9" t="n"/>
      <c r="G115" s="9" t="n"/>
      <c r="H115" s="9" t="n"/>
      <c r="I115" s="9" t="n"/>
      <c r="J115" s="43">
        <f>IF(E115="","",TODAY()-E115)</f>
        <v/>
      </c>
      <c r="K115" s="9">
        <f>IF(OR(E115="",I115=""),"",IF(J115&gt;I115,"STALE","ok"))</f>
        <v/>
      </c>
      <c r="L115" s="9" t="n"/>
      <c r="M115" s="9" t="n"/>
    </row>
    <row r="116">
      <c r="A116" s="11" t="n"/>
      <c r="B116" s="11" t="n"/>
      <c r="C116" s="11" t="n"/>
      <c r="D116" s="11" t="n"/>
      <c r="E116" s="37" t="n"/>
      <c r="F116" s="11" t="n"/>
      <c r="G116" s="11" t="n"/>
      <c r="H116" s="11" t="n"/>
      <c r="I116" s="11" t="n"/>
      <c r="J116" s="44">
        <f>IF(E116="","",TODAY()-E116)</f>
        <v/>
      </c>
      <c r="K116" s="11">
        <f>IF(OR(E116="",I116=""),"",IF(J116&gt;I116,"STALE","ok"))</f>
        <v/>
      </c>
      <c r="L116" s="11" t="n"/>
      <c r="M116" s="11" t="n"/>
    </row>
    <row r="117">
      <c r="A117" s="9" t="n"/>
      <c r="B117" s="9" t="n"/>
      <c r="C117" s="9" t="n"/>
      <c r="D117" s="9" t="n"/>
      <c r="E117" s="34" t="n"/>
      <c r="F117" s="9" t="n"/>
      <c r="G117" s="9" t="n"/>
      <c r="H117" s="9" t="n"/>
      <c r="I117" s="9" t="n"/>
      <c r="J117" s="43">
        <f>IF(E117="","",TODAY()-E117)</f>
        <v/>
      </c>
      <c r="K117" s="9">
        <f>IF(OR(E117="",I117=""),"",IF(J117&gt;I117,"STALE","ok"))</f>
        <v/>
      </c>
      <c r="L117" s="9" t="n"/>
      <c r="M117" s="9" t="n"/>
    </row>
    <row r="118">
      <c r="A118" s="11" t="n"/>
      <c r="B118" s="11" t="n"/>
      <c r="C118" s="11" t="n"/>
      <c r="D118" s="11" t="n"/>
      <c r="E118" s="37" t="n"/>
      <c r="F118" s="11" t="n"/>
      <c r="G118" s="11" t="n"/>
      <c r="H118" s="11" t="n"/>
      <c r="I118" s="11" t="n"/>
      <c r="J118" s="44">
        <f>IF(E118="","",TODAY()-E118)</f>
        <v/>
      </c>
      <c r="K118" s="11">
        <f>IF(OR(E118="",I118=""),"",IF(J118&gt;I118,"STALE","ok"))</f>
        <v/>
      </c>
      <c r="L118" s="11" t="n"/>
      <c r="M118" s="11" t="n"/>
    </row>
    <row r="119">
      <c r="A119" s="9" t="n"/>
      <c r="B119" s="9" t="n"/>
      <c r="C119" s="9" t="n"/>
      <c r="D119" s="9" t="n"/>
      <c r="E119" s="34" t="n"/>
      <c r="F119" s="9" t="n"/>
      <c r="G119" s="9" t="n"/>
      <c r="H119" s="9" t="n"/>
      <c r="I119" s="9" t="n"/>
      <c r="J119" s="43">
        <f>IF(E119="","",TODAY()-E119)</f>
        <v/>
      </c>
      <c r="K119" s="9">
        <f>IF(OR(E119="",I119=""),"",IF(J119&gt;I119,"STALE","ok"))</f>
        <v/>
      </c>
      <c r="L119" s="9" t="n"/>
      <c r="M119" s="9" t="n"/>
    </row>
    <row r="120">
      <c r="A120" s="11" t="n"/>
      <c r="B120" s="11" t="n"/>
      <c r="C120" s="11" t="n"/>
      <c r="D120" s="11" t="n"/>
      <c r="E120" s="37" t="n"/>
      <c r="F120" s="11" t="n"/>
      <c r="G120" s="11" t="n"/>
      <c r="H120" s="11" t="n"/>
      <c r="I120" s="11" t="n"/>
      <c r="J120" s="44">
        <f>IF(E120="","",TODAY()-E120)</f>
        <v/>
      </c>
      <c r="K120" s="11">
        <f>IF(OR(E120="",I120=""),"",IF(J120&gt;I120,"STALE","ok"))</f>
        <v/>
      </c>
      <c r="L120" s="11" t="n"/>
      <c r="M120" s="11" t="n"/>
    </row>
    <row r="121">
      <c r="A121" s="9" t="n"/>
      <c r="B121" s="9" t="n"/>
      <c r="C121" s="9" t="n"/>
      <c r="D121" s="9" t="n"/>
      <c r="E121" s="34" t="n"/>
      <c r="F121" s="9" t="n"/>
      <c r="G121" s="9" t="n"/>
      <c r="H121" s="9" t="n"/>
      <c r="I121" s="9" t="n"/>
      <c r="J121" s="43">
        <f>IF(E121="","",TODAY()-E121)</f>
        <v/>
      </c>
      <c r="K121" s="9">
        <f>IF(OR(E121="",I121=""),"",IF(J121&gt;I121,"STALE","ok"))</f>
        <v/>
      </c>
      <c r="L121" s="9" t="n"/>
      <c r="M121" s="9" t="n"/>
    </row>
    <row r="122">
      <c r="A122" s="11" t="n"/>
      <c r="B122" s="11" t="n"/>
      <c r="C122" s="11" t="n"/>
      <c r="D122" s="11" t="n"/>
      <c r="E122" s="37" t="n"/>
      <c r="F122" s="11" t="n"/>
      <c r="G122" s="11" t="n"/>
      <c r="H122" s="11" t="n"/>
      <c r="I122" s="11" t="n"/>
      <c r="J122" s="44">
        <f>IF(E122="","",TODAY()-E122)</f>
        <v/>
      </c>
      <c r="K122" s="11">
        <f>IF(OR(E122="",I122=""),"",IF(J122&gt;I122,"STALE","ok"))</f>
        <v/>
      </c>
      <c r="L122" s="11" t="n"/>
      <c r="M122" s="11" t="n"/>
    </row>
    <row r="123">
      <c r="A123" s="9" t="n"/>
      <c r="B123" s="9" t="n"/>
      <c r="C123" s="9" t="n"/>
      <c r="D123" s="9" t="n"/>
      <c r="E123" s="34" t="n"/>
      <c r="F123" s="9" t="n"/>
      <c r="G123" s="9" t="n"/>
      <c r="H123" s="9" t="n"/>
      <c r="I123" s="9" t="n"/>
      <c r="J123" s="43">
        <f>IF(E123="","",TODAY()-E123)</f>
        <v/>
      </c>
      <c r="K123" s="9">
        <f>IF(OR(E123="",I123=""),"",IF(J123&gt;I123,"STALE","ok"))</f>
        <v/>
      </c>
      <c r="L123" s="9" t="n"/>
      <c r="M123" s="9" t="n"/>
    </row>
    <row r="124">
      <c r="A124" s="11" t="n"/>
      <c r="B124" s="11" t="n"/>
      <c r="C124" s="11" t="n"/>
      <c r="D124" s="11" t="n"/>
      <c r="E124" s="37" t="n"/>
      <c r="F124" s="11" t="n"/>
      <c r="G124" s="11" t="n"/>
      <c r="H124" s="11" t="n"/>
      <c r="I124" s="11" t="n"/>
      <c r="J124" s="44">
        <f>IF(E124="","",TODAY()-E124)</f>
        <v/>
      </c>
      <c r="K124" s="11">
        <f>IF(OR(E124="",I124=""),"",IF(J124&gt;I124,"STALE","ok"))</f>
        <v/>
      </c>
      <c r="L124" s="11" t="n"/>
      <c r="M124" s="11" t="n"/>
    </row>
    <row r="125">
      <c r="A125" s="9" t="n"/>
      <c r="B125" s="9" t="n"/>
      <c r="C125" s="9" t="n"/>
      <c r="D125" s="9" t="n"/>
      <c r="E125" s="34" t="n"/>
      <c r="F125" s="9" t="n"/>
      <c r="G125" s="9" t="n"/>
      <c r="H125" s="9" t="n"/>
      <c r="I125" s="9" t="n"/>
      <c r="J125" s="43">
        <f>IF(E125="","",TODAY()-E125)</f>
        <v/>
      </c>
      <c r="K125" s="9">
        <f>IF(OR(E125="",I125=""),"",IF(J125&gt;I125,"STALE","ok"))</f>
        <v/>
      </c>
      <c r="L125" s="9" t="n"/>
      <c r="M125" s="9" t="n"/>
    </row>
    <row r="126">
      <c r="A126" s="11" t="n"/>
      <c r="B126" s="11" t="n"/>
      <c r="C126" s="11" t="n"/>
      <c r="D126" s="11" t="n"/>
      <c r="E126" s="37" t="n"/>
      <c r="F126" s="11" t="n"/>
      <c r="G126" s="11" t="n"/>
      <c r="H126" s="11" t="n"/>
      <c r="I126" s="11" t="n"/>
      <c r="J126" s="44">
        <f>IF(E126="","",TODAY()-E126)</f>
        <v/>
      </c>
      <c r="K126" s="11">
        <f>IF(OR(E126="",I126=""),"",IF(J126&gt;I126,"STALE","ok"))</f>
        <v/>
      </c>
      <c r="L126" s="11" t="n"/>
      <c r="M126" s="11" t="n"/>
    </row>
    <row r="127">
      <c r="A127" s="9" t="n"/>
      <c r="B127" s="9" t="n"/>
      <c r="C127" s="9" t="n"/>
      <c r="D127" s="9" t="n"/>
      <c r="E127" s="34" t="n"/>
      <c r="F127" s="9" t="n"/>
      <c r="G127" s="9" t="n"/>
      <c r="H127" s="9" t="n"/>
      <c r="I127" s="9" t="n"/>
      <c r="J127" s="43">
        <f>IF(E127="","",TODAY()-E127)</f>
        <v/>
      </c>
      <c r="K127" s="9">
        <f>IF(OR(E127="",I127=""),"",IF(J127&gt;I127,"STALE","ok"))</f>
        <v/>
      </c>
      <c r="L127" s="9" t="n"/>
      <c r="M127" s="9" t="n"/>
    </row>
    <row r="128">
      <c r="A128" s="11" t="n"/>
      <c r="B128" s="11" t="n"/>
      <c r="C128" s="11" t="n"/>
      <c r="D128" s="11" t="n"/>
      <c r="E128" s="37" t="n"/>
      <c r="F128" s="11" t="n"/>
      <c r="G128" s="11" t="n"/>
      <c r="H128" s="11" t="n"/>
      <c r="I128" s="11" t="n"/>
      <c r="J128" s="44">
        <f>IF(E128="","",TODAY()-E128)</f>
        <v/>
      </c>
      <c r="K128" s="11">
        <f>IF(OR(E128="",I128=""),"",IF(J128&gt;I128,"STALE","ok"))</f>
        <v/>
      </c>
      <c r="L128" s="11" t="n"/>
      <c r="M128" s="11" t="n"/>
    </row>
    <row r="129">
      <c r="A129" s="9" t="n"/>
      <c r="B129" s="9" t="n"/>
      <c r="C129" s="9" t="n"/>
      <c r="D129" s="9" t="n"/>
      <c r="E129" s="34" t="n"/>
      <c r="F129" s="9" t="n"/>
      <c r="G129" s="9" t="n"/>
      <c r="H129" s="9" t="n"/>
      <c r="I129" s="9" t="n"/>
      <c r="J129" s="43">
        <f>IF(E129="","",TODAY()-E129)</f>
        <v/>
      </c>
      <c r="K129" s="9">
        <f>IF(OR(E129="",I129=""),"",IF(J129&gt;I129,"STALE","ok"))</f>
        <v/>
      </c>
      <c r="L129" s="9" t="n"/>
      <c r="M129" s="9" t="n"/>
    </row>
    <row r="130">
      <c r="A130" s="11" t="n"/>
      <c r="B130" s="11" t="n"/>
      <c r="C130" s="11" t="n"/>
      <c r="D130" s="11" t="n"/>
      <c r="E130" s="37" t="n"/>
      <c r="F130" s="11" t="n"/>
      <c r="G130" s="11" t="n"/>
      <c r="H130" s="11" t="n"/>
      <c r="I130" s="11" t="n"/>
      <c r="J130" s="44">
        <f>IF(E130="","",TODAY()-E130)</f>
        <v/>
      </c>
      <c r="K130" s="11">
        <f>IF(OR(E130="",I130=""),"",IF(J130&gt;I130,"STALE","ok"))</f>
        <v/>
      </c>
      <c r="L130" s="11" t="n"/>
      <c r="M130" s="11" t="n"/>
    </row>
    <row r="131">
      <c r="A131" s="9" t="n"/>
      <c r="B131" s="9" t="n"/>
      <c r="C131" s="9" t="n"/>
      <c r="D131" s="9" t="n"/>
      <c r="E131" s="34" t="n"/>
      <c r="F131" s="9" t="n"/>
      <c r="G131" s="9" t="n"/>
      <c r="H131" s="9" t="n"/>
      <c r="I131" s="9" t="n"/>
      <c r="J131" s="43">
        <f>IF(E131="","",TODAY()-E131)</f>
        <v/>
      </c>
      <c r="K131" s="9">
        <f>IF(OR(E131="",I131=""),"",IF(J131&gt;I131,"STALE","ok"))</f>
        <v/>
      </c>
      <c r="L131" s="9" t="n"/>
      <c r="M131" s="9" t="n"/>
    </row>
    <row r="132">
      <c r="A132" s="11" t="n"/>
      <c r="B132" s="11" t="n"/>
      <c r="C132" s="11" t="n"/>
      <c r="D132" s="11" t="n"/>
      <c r="E132" s="37" t="n"/>
      <c r="F132" s="11" t="n"/>
      <c r="G132" s="11" t="n"/>
      <c r="H132" s="11" t="n"/>
      <c r="I132" s="11" t="n"/>
      <c r="J132" s="44">
        <f>IF(E132="","",TODAY()-E132)</f>
        <v/>
      </c>
      <c r="K132" s="11">
        <f>IF(OR(E132="",I132=""),"",IF(J132&gt;I132,"STALE","ok"))</f>
        <v/>
      </c>
      <c r="L132" s="11" t="n"/>
      <c r="M132" s="11" t="n"/>
    </row>
    <row r="133">
      <c r="A133" s="9" t="n"/>
      <c r="B133" s="9" t="n"/>
      <c r="C133" s="9" t="n"/>
      <c r="D133" s="9" t="n"/>
      <c r="E133" s="34" t="n"/>
      <c r="F133" s="9" t="n"/>
      <c r="G133" s="9" t="n"/>
      <c r="H133" s="9" t="n"/>
      <c r="I133" s="9" t="n"/>
      <c r="J133" s="43">
        <f>IF(E133="","",TODAY()-E133)</f>
        <v/>
      </c>
      <c r="K133" s="9">
        <f>IF(OR(E133="",I133=""),"",IF(J133&gt;I133,"STALE","ok"))</f>
        <v/>
      </c>
      <c r="L133" s="9" t="n"/>
      <c r="M133" s="9" t="n"/>
    </row>
    <row r="134">
      <c r="A134" s="11" t="n"/>
      <c r="B134" s="11" t="n"/>
      <c r="C134" s="11" t="n"/>
      <c r="D134" s="11" t="n"/>
      <c r="E134" s="37" t="n"/>
      <c r="F134" s="11" t="n"/>
      <c r="G134" s="11" t="n"/>
      <c r="H134" s="11" t="n"/>
      <c r="I134" s="11" t="n"/>
      <c r="J134" s="44">
        <f>IF(E134="","",TODAY()-E134)</f>
        <v/>
      </c>
      <c r="K134" s="11">
        <f>IF(OR(E134="",I134=""),"",IF(J134&gt;I134,"STALE","ok"))</f>
        <v/>
      </c>
      <c r="L134" s="11" t="n"/>
      <c r="M134" s="11" t="n"/>
    </row>
    <row r="135">
      <c r="A135" s="9" t="n"/>
      <c r="B135" s="9" t="n"/>
      <c r="C135" s="9" t="n"/>
      <c r="D135" s="9" t="n"/>
      <c r="E135" s="34" t="n"/>
      <c r="F135" s="9" t="n"/>
      <c r="G135" s="9" t="n"/>
      <c r="H135" s="9" t="n"/>
      <c r="I135" s="9" t="n"/>
      <c r="J135" s="43">
        <f>IF(E135="","",TODAY()-E135)</f>
        <v/>
      </c>
      <c r="K135" s="9">
        <f>IF(OR(E135="",I135=""),"",IF(J135&gt;I135,"STALE","ok"))</f>
        <v/>
      </c>
      <c r="L135" s="9" t="n"/>
      <c r="M135" s="9" t="n"/>
    </row>
    <row r="136">
      <c r="A136" s="11" t="n"/>
      <c r="B136" s="11" t="n"/>
      <c r="C136" s="11" t="n"/>
      <c r="D136" s="11" t="n"/>
      <c r="E136" s="37" t="n"/>
      <c r="F136" s="11" t="n"/>
      <c r="G136" s="11" t="n"/>
      <c r="H136" s="11" t="n"/>
      <c r="I136" s="11" t="n"/>
      <c r="J136" s="44">
        <f>IF(E136="","",TODAY()-E136)</f>
        <v/>
      </c>
      <c r="K136" s="11">
        <f>IF(OR(E136="",I136=""),"",IF(J136&gt;I136,"STALE","ok"))</f>
        <v/>
      </c>
      <c r="L136" s="11" t="n"/>
      <c r="M136" s="11" t="n"/>
    </row>
    <row r="137">
      <c r="A137" s="9" t="n"/>
      <c r="B137" s="9" t="n"/>
      <c r="C137" s="9" t="n"/>
      <c r="D137" s="9" t="n"/>
      <c r="E137" s="34" t="n"/>
      <c r="F137" s="9" t="n"/>
      <c r="G137" s="9" t="n"/>
      <c r="H137" s="9" t="n"/>
      <c r="I137" s="9" t="n"/>
      <c r="J137" s="43">
        <f>IF(E137="","",TODAY()-E137)</f>
        <v/>
      </c>
      <c r="K137" s="9">
        <f>IF(OR(E137="",I137=""),"",IF(J137&gt;I137,"STALE","ok"))</f>
        <v/>
      </c>
      <c r="L137" s="9" t="n"/>
      <c r="M137" s="9" t="n"/>
    </row>
    <row r="138">
      <c r="A138" s="11" t="n"/>
      <c r="B138" s="11" t="n"/>
      <c r="C138" s="11" t="n"/>
      <c r="D138" s="11" t="n"/>
      <c r="E138" s="37" t="n"/>
      <c r="F138" s="11" t="n"/>
      <c r="G138" s="11" t="n"/>
      <c r="H138" s="11" t="n"/>
      <c r="I138" s="11" t="n"/>
      <c r="J138" s="44">
        <f>IF(E138="","",TODAY()-E138)</f>
        <v/>
      </c>
      <c r="K138" s="11">
        <f>IF(OR(E138="",I138=""),"",IF(J138&gt;I138,"STALE","ok"))</f>
        <v/>
      </c>
      <c r="L138" s="11" t="n"/>
      <c r="M138" s="11" t="n"/>
    </row>
    <row r="139">
      <c r="A139" s="9" t="n"/>
      <c r="B139" s="9" t="n"/>
      <c r="C139" s="9" t="n"/>
      <c r="D139" s="9" t="n"/>
      <c r="E139" s="34" t="n"/>
      <c r="F139" s="9" t="n"/>
      <c r="G139" s="9" t="n"/>
      <c r="H139" s="9" t="n"/>
      <c r="I139" s="9" t="n"/>
      <c r="J139" s="43">
        <f>IF(E139="","",TODAY()-E139)</f>
        <v/>
      </c>
      <c r="K139" s="9">
        <f>IF(OR(E139="",I139=""),"",IF(J139&gt;I139,"STALE","ok"))</f>
        <v/>
      </c>
      <c r="L139" s="9" t="n"/>
      <c r="M139" s="9" t="n"/>
    </row>
    <row r="140">
      <c r="A140" s="11" t="n"/>
      <c r="B140" s="11" t="n"/>
      <c r="C140" s="11" t="n"/>
      <c r="D140" s="11" t="n"/>
      <c r="E140" s="37" t="n"/>
      <c r="F140" s="11" t="n"/>
      <c r="G140" s="11" t="n"/>
      <c r="H140" s="11" t="n"/>
      <c r="I140" s="11" t="n"/>
      <c r="J140" s="44">
        <f>IF(E140="","",TODAY()-E140)</f>
        <v/>
      </c>
      <c r="K140" s="11">
        <f>IF(OR(E140="",I140=""),"",IF(J140&gt;I140,"STALE","ok"))</f>
        <v/>
      </c>
      <c r="L140" s="11" t="n"/>
      <c r="M140" s="11" t="n"/>
    </row>
    <row r="141">
      <c r="A141" s="9" t="n"/>
      <c r="B141" s="9" t="n"/>
      <c r="C141" s="9" t="n"/>
      <c r="D141" s="9" t="n"/>
      <c r="E141" s="34" t="n"/>
      <c r="F141" s="9" t="n"/>
      <c r="G141" s="9" t="n"/>
      <c r="H141" s="9" t="n"/>
      <c r="I141" s="9" t="n"/>
      <c r="J141" s="43">
        <f>IF(E141="","",TODAY()-E141)</f>
        <v/>
      </c>
      <c r="K141" s="9">
        <f>IF(OR(E141="",I141=""),"",IF(J141&gt;I141,"STALE","ok"))</f>
        <v/>
      </c>
      <c r="L141" s="9" t="n"/>
      <c r="M141" s="9" t="n"/>
    </row>
    <row r="142">
      <c r="A142" s="11" t="n"/>
      <c r="B142" s="11" t="n"/>
      <c r="C142" s="11" t="n"/>
      <c r="D142" s="11" t="n"/>
      <c r="E142" s="37" t="n"/>
      <c r="F142" s="11" t="n"/>
      <c r="G142" s="11" t="n"/>
      <c r="H142" s="11" t="n"/>
      <c r="I142" s="11" t="n"/>
      <c r="J142" s="44">
        <f>IF(E142="","",TODAY()-E142)</f>
        <v/>
      </c>
      <c r="K142" s="11">
        <f>IF(OR(E142="",I142=""),"",IF(J142&gt;I142,"STALE","ok"))</f>
        <v/>
      </c>
      <c r="L142" s="11" t="n"/>
      <c r="M142" s="11" t="n"/>
    </row>
    <row r="143">
      <c r="A143" s="9" t="n"/>
      <c r="B143" s="9" t="n"/>
      <c r="C143" s="9" t="n"/>
      <c r="D143" s="9" t="n"/>
      <c r="E143" s="34" t="n"/>
      <c r="F143" s="9" t="n"/>
      <c r="G143" s="9" t="n"/>
      <c r="H143" s="9" t="n"/>
      <c r="I143" s="9" t="n"/>
      <c r="J143" s="43">
        <f>IF(E143="","",TODAY()-E143)</f>
        <v/>
      </c>
      <c r="K143" s="9">
        <f>IF(OR(E143="",I143=""),"",IF(J143&gt;I143,"STALE","ok"))</f>
        <v/>
      </c>
      <c r="L143" s="9" t="n"/>
      <c r="M143" s="9" t="n"/>
    </row>
    <row r="144">
      <c r="A144" s="11" t="n"/>
      <c r="B144" s="11" t="n"/>
      <c r="C144" s="11" t="n"/>
      <c r="D144" s="11" t="n"/>
      <c r="E144" s="37" t="n"/>
      <c r="F144" s="11" t="n"/>
      <c r="G144" s="11" t="n"/>
      <c r="H144" s="11" t="n"/>
      <c r="I144" s="11" t="n"/>
      <c r="J144" s="44">
        <f>IF(E144="","",TODAY()-E144)</f>
        <v/>
      </c>
      <c r="K144" s="11">
        <f>IF(OR(E144="",I144=""),"",IF(J144&gt;I144,"STALE","ok"))</f>
        <v/>
      </c>
      <c r="L144" s="11" t="n"/>
      <c r="M144" s="11" t="n"/>
    </row>
    <row r="145">
      <c r="A145" s="9" t="n"/>
      <c r="B145" s="9" t="n"/>
      <c r="C145" s="9" t="n"/>
      <c r="D145" s="9" t="n"/>
      <c r="E145" s="34" t="n"/>
      <c r="F145" s="9" t="n"/>
      <c r="G145" s="9" t="n"/>
      <c r="H145" s="9" t="n"/>
      <c r="I145" s="9" t="n"/>
      <c r="J145" s="43">
        <f>IF(E145="","",TODAY()-E145)</f>
        <v/>
      </c>
      <c r="K145" s="9">
        <f>IF(OR(E145="",I145=""),"",IF(J145&gt;I145,"STALE","ok"))</f>
        <v/>
      </c>
      <c r="L145" s="9" t="n"/>
      <c r="M145" s="9" t="n"/>
    </row>
    <row r="146">
      <c r="A146" s="11" t="n"/>
      <c r="B146" s="11" t="n"/>
      <c r="C146" s="11" t="n"/>
      <c r="D146" s="11" t="n"/>
      <c r="E146" s="37" t="n"/>
      <c r="F146" s="11" t="n"/>
      <c r="G146" s="11" t="n"/>
      <c r="H146" s="11" t="n"/>
      <c r="I146" s="11" t="n"/>
      <c r="J146" s="44">
        <f>IF(E146="","",TODAY()-E146)</f>
        <v/>
      </c>
      <c r="K146" s="11">
        <f>IF(OR(E146="",I146=""),"",IF(J146&gt;I146,"STALE","ok"))</f>
        <v/>
      </c>
      <c r="L146" s="11" t="n"/>
      <c r="M146" s="11" t="n"/>
    </row>
    <row r="147">
      <c r="A147" s="9" t="n"/>
      <c r="B147" s="9" t="n"/>
      <c r="C147" s="9" t="n"/>
      <c r="D147" s="9" t="n"/>
      <c r="E147" s="34" t="n"/>
      <c r="F147" s="9" t="n"/>
      <c r="G147" s="9" t="n"/>
      <c r="H147" s="9" t="n"/>
      <c r="I147" s="9" t="n"/>
      <c r="J147" s="43">
        <f>IF(E147="","",TODAY()-E147)</f>
        <v/>
      </c>
      <c r="K147" s="9">
        <f>IF(OR(E147="",I147=""),"",IF(J147&gt;I147,"STALE","ok"))</f>
        <v/>
      </c>
      <c r="L147" s="9" t="n"/>
      <c r="M147" s="9" t="n"/>
    </row>
    <row r="148">
      <c r="A148" s="11" t="n"/>
      <c r="B148" s="11" t="n"/>
      <c r="C148" s="11" t="n"/>
      <c r="D148" s="11" t="n"/>
      <c r="E148" s="37" t="n"/>
      <c r="F148" s="11" t="n"/>
      <c r="G148" s="11" t="n"/>
      <c r="H148" s="11" t="n"/>
      <c r="I148" s="11" t="n"/>
      <c r="J148" s="44">
        <f>IF(E148="","",TODAY()-E148)</f>
        <v/>
      </c>
      <c r="K148" s="11">
        <f>IF(OR(E148="",I148=""),"",IF(J148&gt;I148,"STALE","ok"))</f>
        <v/>
      </c>
      <c r="L148" s="11" t="n"/>
      <c r="M148" s="11" t="n"/>
    </row>
    <row r="149">
      <c r="A149" s="9" t="n"/>
      <c r="B149" s="9" t="n"/>
      <c r="C149" s="9" t="n"/>
      <c r="D149" s="9" t="n"/>
      <c r="E149" s="34" t="n"/>
      <c r="F149" s="9" t="n"/>
      <c r="G149" s="9" t="n"/>
      <c r="H149" s="9" t="n"/>
      <c r="I149" s="9" t="n"/>
      <c r="J149" s="43">
        <f>IF(E149="","",TODAY()-E149)</f>
        <v/>
      </c>
      <c r="K149" s="9">
        <f>IF(OR(E149="",I149=""),"",IF(J149&gt;I149,"STALE","ok"))</f>
        <v/>
      </c>
      <c r="L149" s="9" t="n"/>
      <c r="M149" s="9" t="n"/>
    </row>
    <row r="150">
      <c r="A150" s="11" t="n"/>
      <c r="B150" s="11" t="n"/>
      <c r="C150" s="11" t="n"/>
      <c r="D150" s="11" t="n"/>
      <c r="E150" s="37" t="n"/>
      <c r="F150" s="11" t="n"/>
      <c r="G150" s="11" t="n"/>
      <c r="H150" s="11" t="n"/>
      <c r="I150" s="11" t="n"/>
      <c r="J150" s="44">
        <f>IF(E150="","",TODAY()-E150)</f>
        <v/>
      </c>
      <c r="K150" s="11">
        <f>IF(OR(E150="",I150=""),"",IF(J150&gt;I150,"STALE","ok"))</f>
        <v/>
      </c>
      <c r="L150" s="11" t="n"/>
      <c r="M150" s="11" t="n"/>
    </row>
    <row r="151">
      <c r="A151" s="9" t="n"/>
      <c r="B151" s="9" t="n"/>
      <c r="C151" s="9" t="n"/>
      <c r="D151" s="9" t="n"/>
      <c r="E151" s="34" t="n"/>
      <c r="F151" s="9" t="n"/>
      <c r="G151" s="9" t="n"/>
      <c r="H151" s="9" t="n"/>
      <c r="I151" s="9" t="n"/>
      <c r="J151" s="43">
        <f>IF(E151="","",TODAY()-E151)</f>
        <v/>
      </c>
      <c r="K151" s="9">
        <f>IF(OR(E151="",I151=""),"",IF(J151&gt;I151,"STALE","ok"))</f>
        <v/>
      </c>
      <c r="L151" s="9" t="n"/>
      <c r="M151" s="9" t="n"/>
    </row>
    <row r="152">
      <c r="A152" s="11" t="n"/>
      <c r="B152" s="11" t="n"/>
      <c r="C152" s="11" t="n"/>
      <c r="D152" s="11" t="n"/>
      <c r="E152" s="37" t="n"/>
      <c r="F152" s="11" t="n"/>
      <c r="G152" s="11" t="n"/>
      <c r="H152" s="11" t="n"/>
      <c r="I152" s="11" t="n"/>
      <c r="J152" s="44">
        <f>IF(E152="","",TODAY()-E152)</f>
        <v/>
      </c>
      <c r="K152" s="11">
        <f>IF(OR(E152="",I152=""),"",IF(J152&gt;I152,"STALE","ok"))</f>
        <v/>
      </c>
      <c r="L152" s="11" t="n"/>
      <c r="M152" s="11" t="n"/>
    </row>
    <row r="153">
      <c r="A153" s="9" t="n"/>
      <c r="B153" s="9" t="n"/>
      <c r="C153" s="9" t="n"/>
      <c r="D153" s="9" t="n"/>
      <c r="E153" s="34" t="n"/>
      <c r="F153" s="9" t="n"/>
      <c r="G153" s="9" t="n"/>
      <c r="H153" s="9" t="n"/>
      <c r="I153" s="9" t="n"/>
      <c r="J153" s="43">
        <f>IF(E153="","",TODAY()-E153)</f>
        <v/>
      </c>
      <c r="K153" s="9">
        <f>IF(OR(E153="",I153=""),"",IF(J153&gt;I153,"STALE","ok"))</f>
        <v/>
      </c>
      <c r="L153" s="9" t="n"/>
      <c r="M153" s="9" t="n"/>
    </row>
    <row r="154">
      <c r="A154" s="11" t="n"/>
      <c r="B154" s="11" t="n"/>
      <c r="C154" s="11" t="n"/>
      <c r="D154" s="11" t="n"/>
      <c r="E154" s="37" t="n"/>
      <c r="F154" s="11" t="n"/>
      <c r="G154" s="11" t="n"/>
      <c r="H154" s="11" t="n"/>
      <c r="I154" s="11" t="n"/>
      <c r="J154" s="44">
        <f>IF(E154="","",TODAY()-E154)</f>
        <v/>
      </c>
      <c r="K154" s="11">
        <f>IF(OR(E154="",I154=""),"",IF(J154&gt;I154,"STALE","ok"))</f>
        <v/>
      </c>
      <c r="L154" s="11" t="n"/>
      <c r="M154" s="11" t="n"/>
    </row>
    <row r="155">
      <c r="A155" s="9" t="n"/>
      <c r="B155" s="9" t="n"/>
      <c r="C155" s="9" t="n"/>
      <c r="D155" s="9" t="n"/>
      <c r="E155" s="34" t="n"/>
      <c r="F155" s="9" t="n"/>
      <c r="G155" s="9" t="n"/>
      <c r="H155" s="9" t="n"/>
      <c r="I155" s="9" t="n"/>
      <c r="J155" s="43">
        <f>IF(E155="","",TODAY()-E155)</f>
        <v/>
      </c>
      <c r="K155" s="9">
        <f>IF(OR(E155="",I155=""),"",IF(J155&gt;I155,"STALE","ok"))</f>
        <v/>
      </c>
      <c r="L155" s="9" t="n"/>
      <c r="M155" s="9" t="n"/>
    </row>
    <row r="156">
      <c r="A156" s="11" t="n"/>
      <c r="B156" s="11" t="n"/>
      <c r="C156" s="11" t="n"/>
      <c r="D156" s="11" t="n"/>
      <c r="E156" s="37" t="n"/>
      <c r="F156" s="11" t="n"/>
      <c r="G156" s="11" t="n"/>
      <c r="H156" s="11" t="n"/>
      <c r="I156" s="11" t="n"/>
      <c r="J156" s="44">
        <f>IF(E156="","",TODAY()-E156)</f>
        <v/>
      </c>
      <c r="K156" s="11">
        <f>IF(OR(E156="",I156=""),"",IF(J156&gt;I156,"STALE","ok"))</f>
        <v/>
      </c>
      <c r="L156" s="11" t="n"/>
      <c r="M156" s="11" t="n"/>
    </row>
    <row r="157">
      <c r="A157" s="9" t="n"/>
      <c r="B157" s="9" t="n"/>
      <c r="C157" s="9" t="n"/>
      <c r="D157" s="9" t="n"/>
      <c r="E157" s="34" t="n"/>
      <c r="F157" s="9" t="n"/>
      <c r="G157" s="9" t="n"/>
      <c r="H157" s="9" t="n"/>
      <c r="I157" s="9" t="n"/>
      <c r="J157" s="43">
        <f>IF(E157="","",TODAY()-E157)</f>
        <v/>
      </c>
      <c r="K157" s="9">
        <f>IF(OR(E157="",I157=""),"",IF(J157&gt;I157,"STALE","ok"))</f>
        <v/>
      </c>
      <c r="L157" s="9" t="n"/>
      <c r="M157" s="9" t="n"/>
    </row>
    <row r="158">
      <c r="A158" s="11" t="n"/>
      <c r="B158" s="11" t="n"/>
      <c r="C158" s="11" t="n"/>
      <c r="D158" s="11" t="n"/>
      <c r="E158" s="37" t="n"/>
      <c r="F158" s="11" t="n"/>
      <c r="G158" s="11" t="n"/>
      <c r="H158" s="11" t="n"/>
      <c r="I158" s="11" t="n"/>
      <c r="J158" s="44">
        <f>IF(E158="","",TODAY()-E158)</f>
        <v/>
      </c>
      <c r="K158" s="11">
        <f>IF(OR(E158="",I158=""),"",IF(J158&gt;I158,"STALE","ok"))</f>
        <v/>
      </c>
      <c r="L158" s="11" t="n"/>
      <c r="M158" s="11" t="n"/>
    </row>
    <row r="159">
      <c r="A159" s="9" t="n"/>
      <c r="B159" s="9" t="n"/>
      <c r="C159" s="9" t="n"/>
      <c r="D159" s="9" t="n"/>
      <c r="E159" s="34" t="n"/>
      <c r="F159" s="9" t="n"/>
      <c r="G159" s="9" t="n"/>
      <c r="H159" s="9" t="n"/>
      <c r="I159" s="9" t="n"/>
      <c r="J159" s="43">
        <f>IF(E159="","",TODAY()-E159)</f>
        <v/>
      </c>
      <c r="K159" s="9">
        <f>IF(OR(E159="",I159=""),"",IF(J159&gt;I159,"STALE","ok"))</f>
        <v/>
      </c>
      <c r="L159" s="9" t="n"/>
      <c r="M159" s="9" t="n"/>
    </row>
    <row r="160">
      <c r="A160" s="11" t="n"/>
      <c r="B160" s="11" t="n"/>
      <c r="C160" s="11" t="n"/>
      <c r="D160" s="11" t="n"/>
      <c r="E160" s="37" t="n"/>
      <c r="F160" s="11" t="n"/>
      <c r="G160" s="11" t="n"/>
      <c r="H160" s="11" t="n"/>
      <c r="I160" s="11" t="n"/>
      <c r="J160" s="44">
        <f>IF(E160="","",TODAY()-E160)</f>
        <v/>
      </c>
      <c r="K160" s="11">
        <f>IF(OR(E160="",I160=""),"",IF(J160&gt;I160,"STALE","ok"))</f>
        <v/>
      </c>
      <c r="L160" s="11" t="n"/>
      <c r="M160" s="11" t="n"/>
    </row>
    <row r="161">
      <c r="A161" s="9" t="n"/>
      <c r="B161" s="9" t="n"/>
      <c r="C161" s="9" t="n"/>
      <c r="D161" s="9" t="n"/>
      <c r="E161" s="34" t="n"/>
      <c r="F161" s="9" t="n"/>
      <c r="G161" s="9" t="n"/>
      <c r="H161" s="9" t="n"/>
      <c r="I161" s="9" t="n"/>
      <c r="J161" s="43">
        <f>IF(E161="","",TODAY()-E161)</f>
        <v/>
      </c>
      <c r="K161" s="9">
        <f>IF(OR(E161="",I161=""),"",IF(J161&gt;I161,"STALE","ok"))</f>
        <v/>
      </c>
      <c r="L161" s="9" t="n"/>
      <c r="M161" s="9" t="n"/>
    </row>
    <row r="162">
      <c r="A162" s="11" t="n"/>
      <c r="B162" s="11" t="n"/>
      <c r="C162" s="11" t="n"/>
      <c r="D162" s="11" t="n"/>
      <c r="E162" s="37" t="n"/>
      <c r="F162" s="11" t="n"/>
      <c r="G162" s="11" t="n"/>
      <c r="H162" s="11" t="n"/>
      <c r="I162" s="11" t="n"/>
      <c r="J162" s="44">
        <f>IF(E162="","",TODAY()-E162)</f>
        <v/>
      </c>
      <c r="K162" s="11">
        <f>IF(OR(E162="",I162=""),"",IF(J162&gt;I162,"STALE","ok"))</f>
        <v/>
      </c>
      <c r="L162" s="11" t="n"/>
      <c r="M162" s="11" t="n"/>
    </row>
    <row r="163">
      <c r="A163" s="9" t="n"/>
      <c r="B163" s="9" t="n"/>
      <c r="C163" s="9" t="n"/>
      <c r="D163" s="9" t="n"/>
      <c r="E163" s="34" t="n"/>
      <c r="F163" s="9" t="n"/>
      <c r="G163" s="9" t="n"/>
      <c r="H163" s="9" t="n"/>
      <c r="I163" s="9" t="n"/>
      <c r="J163" s="43">
        <f>IF(E163="","",TODAY()-E163)</f>
        <v/>
      </c>
      <c r="K163" s="9">
        <f>IF(OR(E163="",I163=""),"",IF(J163&gt;I163,"STALE","ok"))</f>
        <v/>
      </c>
      <c r="L163" s="9" t="n"/>
      <c r="M163" s="9" t="n"/>
    </row>
    <row r="164">
      <c r="A164" s="11" t="n"/>
      <c r="B164" s="11" t="n"/>
      <c r="C164" s="11" t="n"/>
      <c r="D164" s="11" t="n"/>
      <c r="E164" s="37" t="n"/>
      <c r="F164" s="11" t="n"/>
      <c r="G164" s="11" t="n"/>
      <c r="H164" s="11" t="n"/>
      <c r="I164" s="11" t="n"/>
      <c r="J164" s="44">
        <f>IF(E164="","",TODAY()-E164)</f>
        <v/>
      </c>
      <c r="K164" s="11">
        <f>IF(OR(E164="",I164=""),"",IF(J164&gt;I164,"STALE","ok"))</f>
        <v/>
      </c>
      <c r="L164" s="11" t="n"/>
      <c r="M164" s="11" t="n"/>
    </row>
    <row r="165">
      <c r="A165" s="9" t="n"/>
      <c r="B165" s="9" t="n"/>
      <c r="C165" s="9" t="n"/>
      <c r="D165" s="9" t="n"/>
      <c r="E165" s="34" t="n"/>
      <c r="F165" s="9" t="n"/>
      <c r="G165" s="9" t="n"/>
      <c r="H165" s="9" t="n"/>
      <c r="I165" s="9" t="n"/>
      <c r="J165" s="43">
        <f>IF(E165="","",TODAY()-E165)</f>
        <v/>
      </c>
      <c r="K165" s="9">
        <f>IF(OR(E165="",I165=""),"",IF(J165&gt;I165,"STALE","ok"))</f>
        <v/>
      </c>
      <c r="L165" s="9" t="n"/>
      <c r="M165" s="9" t="n"/>
    </row>
    <row r="166">
      <c r="A166" s="11" t="n"/>
      <c r="B166" s="11" t="n"/>
      <c r="C166" s="11" t="n"/>
      <c r="D166" s="11" t="n"/>
      <c r="E166" s="37" t="n"/>
      <c r="F166" s="11" t="n"/>
      <c r="G166" s="11" t="n"/>
      <c r="H166" s="11" t="n"/>
      <c r="I166" s="11" t="n"/>
      <c r="J166" s="44">
        <f>IF(E166="","",TODAY()-E166)</f>
        <v/>
      </c>
      <c r="K166" s="11">
        <f>IF(OR(E166="",I166=""),"",IF(J166&gt;I166,"STALE","ok"))</f>
        <v/>
      </c>
      <c r="L166" s="11" t="n"/>
      <c r="M166" s="11" t="n"/>
    </row>
    <row r="167">
      <c r="A167" s="9" t="n"/>
      <c r="B167" s="9" t="n"/>
      <c r="C167" s="9" t="n"/>
      <c r="D167" s="9" t="n"/>
      <c r="E167" s="34" t="n"/>
      <c r="F167" s="9" t="n"/>
      <c r="G167" s="9" t="n"/>
      <c r="H167" s="9" t="n"/>
      <c r="I167" s="9" t="n"/>
      <c r="J167" s="43">
        <f>IF(E167="","",TODAY()-E167)</f>
        <v/>
      </c>
      <c r="K167" s="9">
        <f>IF(OR(E167="",I167=""),"",IF(J167&gt;I167,"STALE","ok"))</f>
        <v/>
      </c>
      <c r="L167" s="9" t="n"/>
      <c r="M167" s="9" t="n"/>
    </row>
    <row r="168">
      <c r="A168" s="11" t="n"/>
      <c r="B168" s="11" t="n"/>
      <c r="C168" s="11" t="n"/>
      <c r="D168" s="11" t="n"/>
      <c r="E168" s="37" t="n"/>
      <c r="F168" s="11" t="n"/>
      <c r="G168" s="11" t="n"/>
      <c r="H168" s="11" t="n"/>
      <c r="I168" s="11" t="n"/>
      <c r="J168" s="44">
        <f>IF(E168="","",TODAY()-E168)</f>
        <v/>
      </c>
      <c r="K168" s="11">
        <f>IF(OR(E168="",I168=""),"",IF(J168&gt;I168,"STALE","ok"))</f>
        <v/>
      </c>
      <c r="L168" s="11" t="n"/>
      <c r="M168" s="11" t="n"/>
    </row>
    <row r="169">
      <c r="A169" s="9" t="n"/>
      <c r="B169" s="9" t="n"/>
      <c r="C169" s="9" t="n"/>
      <c r="D169" s="9" t="n"/>
      <c r="E169" s="34" t="n"/>
      <c r="F169" s="9" t="n"/>
      <c r="G169" s="9" t="n"/>
      <c r="H169" s="9" t="n"/>
      <c r="I169" s="9" t="n"/>
      <c r="J169" s="43">
        <f>IF(E169="","",TODAY()-E169)</f>
        <v/>
      </c>
      <c r="K169" s="9">
        <f>IF(OR(E169="",I169=""),"",IF(J169&gt;I169,"STALE","ok"))</f>
        <v/>
      </c>
      <c r="L169" s="9" t="n"/>
      <c r="M169" s="9" t="n"/>
    </row>
    <row r="170">
      <c r="A170" s="11" t="n"/>
      <c r="B170" s="11" t="n"/>
      <c r="C170" s="11" t="n"/>
      <c r="D170" s="11" t="n"/>
      <c r="E170" s="37" t="n"/>
      <c r="F170" s="11" t="n"/>
      <c r="G170" s="11" t="n"/>
      <c r="H170" s="11" t="n"/>
      <c r="I170" s="11" t="n"/>
      <c r="J170" s="44">
        <f>IF(E170="","",TODAY()-E170)</f>
        <v/>
      </c>
      <c r="K170" s="11">
        <f>IF(OR(E170="",I170=""),"",IF(J170&gt;I170,"STALE","ok"))</f>
        <v/>
      </c>
      <c r="L170" s="11" t="n"/>
      <c r="M170" s="11" t="n"/>
    </row>
    <row r="171">
      <c r="A171" s="9" t="n"/>
      <c r="B171" s="9" t="n"/>
      <c r="C171" s="9" t="n"/>
      <c r="D171" s="9" t="n"/>
      <c r="E171" s="34" t="n"/>
      <c r="F171" s="9" t="n"/>
      <c r="G171" s="9" t="n"/>
      <c r="H171" s="9" t="n"/>
      <c r="I171" s="9" t="n"/>
      <c r="J171" s="43">
        <f>IF(E171="","",TODAY()-E171)</f>
        <v/>
      </c>
      <c r="K171" s="9">
        <f>IF(OR(E171="",I171=""),"",IF(J171&gt;I171,"STALE","ok"))</f>
        <v/>
      </c>
      <c r="L171" s="9" t="n"/>
      <c r="M171" s="9" t="n"/>
    </row>
    <row r="172">
      <c r="A172" s="11" t="n"/>
      <c r="B172" s="11" t="n"/>
      <c r="C172" s="11" t="n"/>
      <c r="D172" s="11" t="n"/>
      <c r="E172" s="37" t="n"/>
      <c r="F172" s="11" t="n"/>
      <c r="G172" s="11" t="n"/>
      <c r="H172" s="11" t="n"/>
      <c r="I172" s="11" t="n"/>
      <c r="J172" s="44">
        <f>IF(E172="","",TODAY()-E172)</f>
        <v/>
      </c>
      <c r="K172" s="11">
        <f>IF(OR(E172="",I172=""),"",IF(J172&gt;I172,"STALE","ok"))</f>
        <v/>
      </c>
      <c r="L172" s="11" t="n"/>
      <c r="M172" s="11" t="n"/>
    </row>
    <row r="173">
      <c r="A173" s="9" t="n"/>
      <c r="B173" s="9" t="n"/>
      <c r="C173" s="9" t="n"/>
      <c r="D173" s="9" t="n"/>
      <c r="E173" s="34" t="n"/>
      <c r="F173" s="9" t="n"/>
      <c r="G173" s="9" t="n"/>
      <c r="H173" s="9" t="n"/>
      <c r="I173" s="9" t="n"/>
      <c r="J173" s="43">
        <f>IF(E173="","",TODAY()-E173)</f>
        <v/>
      </c>
      <c r="K173" s="9">
        <f>IF(OR(E173="",I173=""),"",IF(J173&gt;I173,"STALE","ok"))</f>
        <v/>
      </c>
      <c r="L173" s="9" t="n"/>
      <c r="M173" s="9" t="n"/>
    </row>
    <row r="174">
      <c r="A174" s="11" t="n"/>
      <c r="B174" s="11" t="n"/>
      <c r="C174" s="11" t="n"/>
      <c r="D174" s="11" t="n"/>
      <c r="E174" s="37" t="n"/>
      <c r="F174" s="11" t="n"/>
      <c r="G174" s="11" t="n"/>
      <c r="H174" s="11" t="n"/>
      <c r="I174" s="11" t="n"/>
      <c r="J174" s="44">
        <f>IF(E174="","",TODAY()-E174)</f>
        <v/>
      </c>
      <c r="K174" s="11">
        <f>IF(OR(E174="",I174=""),"",IF(J174&gt;I174,"STALE","ok"))</f>
        <v/>
      </c>
      <c r="L174" s="11" t="n"/>
      <c r="M174" s="11" t="n"/>
    </row>
    <row r="175">
      <c r="A175" s="9" t="n"/>
      <c r="B175" s="9" t="n"/>
      <c r="C175" s="9" t="n"/>
      <c r="D175" s="9" t="n"/>
      <c r="E175" s="34" t="n"/>
      <c r="F175" s="9" t="n"/>
      <c r="G175" s="9" t="n"/>
      <c r="H175" s="9" t="n"/>
      <c r="I175" s="9" t="n"/>
      <c r="J175" s="43">
        <f>IF(E175="","",TODAY()-E175)</f>
        <v/>
      </c>
      <c r="K175" s="9">
        <f>IF(OR(E175="",I175=""),"",IF(J175&gt;I175,"STALE","ok"))</f>
        <v/>
      </c>
      <c r="L175" s="9" t="n"/>
      <c r="M175" s="9" t="n"/>
    </row>
    <row r="176">
      <c r="A176" s="11" t="n"/>
      <c r="B176" s="11" t="n"/>
      <c r="C176" s="11" t="n"/>
      <c r="D176" s="11" t="n"/>
      <c r="E176" s="37" t="n"/>
      <c r="F176" s="11" t="n"/>
      <c r="G176" s="11" t="n"/>
      <c r="H176" s="11" t="n"/>
      <c r="I176" s="11" t="n"/>
      <c r="J176" s="44">
        <f>IF(E176="","",TODAY()-E176)</f>
        <v/>
      </c>
      <c r="K176" s="11">
        <f>IF(OR(E176="",I176=""),"",IF(J176&gt;I176,"STALE","ok"))</f>
        <v/>
      </c>
      <c r="L176" s="11" t="n"/>
      <c r="M176" s="11" t="n"/>
    </row>
    <row r="177">
      <c r="A177" s="9" t="n"/>
      <c r="B177" s="9" t="n"/>
      <c r="C177" s="9" t="n"/>
      <c r="D177" s="9" t="n"/>
      <c r="E177" s="34" t="n"/>
      <c r="F177" s="9" t="n"/>
      <c r="G177" s="9" t="n"/>
      <c r="H177" s="9" t="n"/>
      <c r="I177" s="9" t="n"/>
      <c r="J177" s="43">
        <f>IF(E177="","",TODAY()-E177)</f>
        <v/>
      </c>
      <c r="K177" s="9">
        <f>IF(OR(E177="",I177=""),"",IF(J177&gt;I177,"STALE","ok"))</f>
        <v/>
      </c>
      <c r="L177" s="9" t="n"/>
      <c r="M177" s="9" t="n"/>
    </row>
    <row r="178">
      <c r="A178" s="11" t="n"/>
      <c r="B178" s="11" t="n"/>
      <c r="C178" s="11" t="n"/>
      <c r="D178" s="11" t="n"/>
      <c r="E178" s="37" t="n"/>
      <c r="F178" s="11" t="n"/>
      <c r="G178" s="11" t="n"/>
      <c r="H178" s="11" t="n"/>
      <c r="I178" s="11" t="n"/>
      <c r="J178" s="44">
        <f>IF(E178="","",TODAY()-E178)</f>
        <v/>
      </c>
      <c r="K178" s="11">
        <f>IF(OR(E178="",I178=""),"",IF(J178&gt;I178,"STALE","ok"))</f>
        <v/>
      </c>
      <c r="L178" s="11" t="n"/>
      <c r="M178" s="11" t="n"/>
    </row>
    <row r="179">
      <c r="A179" s="9" t="n"/>
      <c r="B179" s="9" t="n"/>
      <c r="C179" s="9" t="n"/>
      <c r="D179" s="9" t="n"/>
      <c r="E179" s="34" t="n"/>
      <c r="F179" s="9" t="n"/>
      <c r="G179" s="9" t="n"/>
      <c r="H179" s="9" t="n"/>
      <c r="I179" s="9" t="n"/>
      <c r="J179" s="43">
        <f>IF(E179="","",TODAY()-E179)</f>
        <v/>
      </c>
      <c r="K179" s="9">
        <f>IF(OR(E179="",I179=""),"",IF(J179&gt;I179,"STALE","ok"))</f>
        <v/>
      </c>
      <c r="L179" s="9" t="n"/>
      <c r="M179" s="9" t="n"/>
    </row>
    <row r="180">
      <c r="A180" s="11" t="n"/>
      <c r="B180" s="11" t="n"/>
      <c r="C180" s="11" t="n"/>
      <c r="D180" s="11" t="n"/>
      <c r="E180" s="37" t="n"/>
      <c r="F180" s="11" t="n"/>
      <c r="G180" s="11" t="n"/>
      <c r="H180" s="11" t="n"/>
      <c r="I180" s="11" t="n"/>
      <c r="J180" s="44">
        <f>IF(E180="","",TODAY()-E180)</f>
        <v/>
      </c>
      <c r="K180" s="11">
        <f>IF(OR(E180="",I180=""),"",IF(J180&gt;I180,"STALE","ok"))</f>
        <v/>
      </c>
      <c r="L180" s="11" t="n"/>
      <c r="M180" s="11" t="n"/>
    </row>
    <row r="181">
      <c r="A181" s="9" t="n"/>
      <c r="B181" s="9" t="n"/>
      <c r="C181" s="9" t="n"/>
      <c r="D181" s="9" t="n"/>
      <c r="E181" s="34" t="n"/>
      <c r="F181" s="9" t="n"/>
      <c r="G181" s="9" t="n"/>
      <c r="H181" s="9" t="n"/>
      <c r="I181" s="9" t="n"/>
      <c r="J181" s="43">
        <f>IF(E181="","",TODAY()-E181)</f>
        <v/>
      </c>
      <c r="K181" s="9">
        <f>IF(OR(E181="",I181=""),"",IF(J181&gt;I181,"STALE","ok"))</f>
        <v/>
      </c>
      <c r="L181" s="9" t="n"/>
      <c r="M181" s="9" t="n"/>
    </row>
    <row r="182">
      <c r="A182" s="11" t="n"/>
      <c r="B182" s="11" t="n"/>
      <c r="C182" s="11" t="n"/>
      <c r="D182" s="11" t="n"/>
      <c r="E182" s="37" t="n"/>
      <c r="F182" s="11" t="n"/>
      <c r="G182" s="11" t="n"/>
      <c r="H182" s="11" t="n"/>
      <c r="I182" s="11" t="n"/>
      <c r="J182" s="44">
        <f>IF(E182="","",TODAY()-E182)</f>
        <v/>
      </c>
      <c r="K182" s="11">
        <f>IF(OR(E182="",I182=""),"",IF(J182&gt;I182,"STALE","ok"))</f>
        <v/>
      </c>
      <c r="L182" s="11" t="n"/>
      <c r="M182" s="11" t="n"/>
    </row>
    <row r="183">
      <c r="A183" s="9" t="n"/>
      <c r="B183" s="9" t="n"/>
      <c r="C183" s="9" t="n"/>
      <c r="D183" s="9" t="n"/>
      <c r="E183" s="34" t="n"/>
      <c r="F183" s="9" t="n"/>
      <c r="G183" s="9" t="n"/>
      <c r="H183" s="9" t="n"/>
      <c r="I183" s="9" t="n"/>
      <c r="J183" s="43">
        <f>IF(E183="","",TODAY()-E183)</f>
        <v/>
      </c>
      <c r="K183" s="9">
        <f>IF(OR(E183="",I183=""),"",IF(J183&gt;I183,"STALE","ok"))</f>
        <v/>
      </c>
      <c r="L183" s="9" t="n"/>
      <c r="M183" s="9" t="n"/>
    </row>
    <row r="184">
      <c r="A184" s="11" t="n"/>
      <c r="B184" s="11" t="n"/>
      <c r="C184" s="11" t="n"/>
      <c r="D184" s="11" t="n"/>
      <c r="E184" s="37" t="n"/>
      <c r="F184" s="11" t="n"/>
      <c r="G184" s="11" t="n"/>
      <c r="H184" s="11" t="n"/>
      <c r="I184" s="11" t="n"/>
      <c r="J184" s="44">
        <f>IF(E184="","",TODAY()-E184)</f>
        <v/>
      </c>
      <c r="K184" s="11">
        <f>IF(OR(E184="",I184=""),"",IF(J184&gt;I184,"STALE","ok"))</f>
        <v/>
      </c>
      <c r="L184" s="11" t="n"/>
      <c r="M184" s="11" t="n"/>
    </row>
    <row r="185">
      <c r="A185" s="9" t="n"/>
      <c r="B185" s="9" t="n"/>
      <c r="C185" s="9" t="n"/>
      <c r="D185" s="9" t="n"/>
      <c r="E185" s="34" t="n"/>
      <c r="F185" s="9" t="n"/>
      <c r="G185" s="9" t="n"/>
      <c r="H185" s="9" t="n"/>
      <c r="I185" s="9" t="n"/>
      <c r="J185" s="43">
        <f>IF(E185="","",TODAY()-E185)</f>
        <v/>
      </c>
      <c r="K185" s="9">
        <f>IF(OR(E185="",I185=""),"",IF(J185&gt;I185,"STALE","ok"))</f>
        <v/>
      </c>
      <c r="L185" s="9" t="n"/>
      <c r="M185" s="9" t="n"/>
    </row>
    <row r="186">
      <c r="A186" s="11" t="n"/>
      <c r="B186" s="11" t="n"/>
      <c r="C186" s="11" t="n"/>
      <c r="D186" s="11" t="n"/>
      <c r="E186" s="37" t="n"/>
      <c r="F186" s="11" t="n"/>
      <c r="G186" s="11" t="n"/>
      <c r="H186" s="11" t="n"/>
      <c r="I186" s="11" t="n"/>
      <c r="J186" s="44">
        <f>IF(E186="","",TODAY()-E186)</f>
        <v/>
      </c>
      <c r="K186" s="11">
        <f>IF(OR(E186="",I186=""),"",IF(J186&gt;I186,"STALE","ok"))</f>
        <v/>
      </c>
      <c r="L186" s="11" t="n"/>
      <c r="M186" s="11" t="n"/>
    </row>
    <row r="187">
      <c r="A187" s="9" t="n"/>
      <c r="B187" s="9" t="n"/>
      <c r="C187" s="9" t="n"/>
      <c r="D187" s="9" t="n"/>
      <c r="E187" s="34" t="n"/>
      <c r="F187" s="9" t="n"/>
      <c r="G187" s="9" t="n"/>
      <c r="H187" s="9" t="n"/>
      <c r="I187" s="9" t="n"/>
      <c r="J187" s="43">
        <f>IF(E187="","",TODAY()-E187)</f>
        <v/>
      </c>
      <c r="K187" s="9">
        <f>IF(OR(E187="",I187=""),"",IF(J187&gt;I187,"STALE","ok"))</f>
        <v/>
      </c>
      <c r="L187" s="9" t="n"/>
      <c r="M187" s="9" t="n"/>
    </row>
    <row r="188">
      <c r="A188" s="11" t="n"/>
      <c r="B188" s="11" t="n"/>
      <c r="C188" s="11" t="n"/>
      <c r="D188" s="11" t="n"/>
      <c r="E188" s="37" t="n"/>
      <c r="F188" s="11" t="n"/>
      <c r="G188" s="11" t="n"/>
      <c r="H188" s="11" t="n"/>
      <c r="I188" s="11" t="n"/>
      <c r="J188" s="44">
        <f>IF(E188="","",TODAY()-E188)</f>
        <v/>
      </c>
      <c r="K188" s="11">
        <f>IF(OR(E188="",I188=""),"",IF(J188&gt;I188,"STALE","ok"))</f>
        <v/>
      </c>
      <c r="L188" s="11" t="n"/>
      <c r="M188" s="11" t="n"/>
    </row>
    <row r="189">
      <c r="A189" s="9" t="n"/>
      <c r="B189" s="9" t="n"/>
      <c r="C189" s="9" t="n"/>
      <c r="D189" s="9" t="n"/>
      <c r="E189" s="34" t="n"/>
      <c r="F189" s="9" t="n"/>
      <c r="G189" s="9" t="n"/>
      <c r="H189" s="9" t="n"/>
      <c r="I189" s="9" t="n"/>
      <c r="J189" s="43">
        <f>IF(E189="","",TODAY()-E189)</f>
        <v/>
      </c>
      <c r="K189" s="9">
        <f>IF(OR(E189="",I189=""),"",IF(J189&gt;I189,"STALE","ok"))</f>
        <v/>
      </c>
      <c r="L189" s="9" t="n"/>
      <c r="M189" s="9" t="n"/>
    </row>
    <row r="190">
      <c r="A190" s="11" t="n"/>
      <c r="B190" s="11" t="n"/>
      <c r="C190" s="11" t="n"/>
      <c r="D190" s="11" t="n"/>
      <c r="E190" s="37" t="n"/>
      <c r="F190" s="11" t="n"/>
      <c r="G190" s="11" t="n"/>
      <c r="H190" s="11" t="n"/>
      <c r="I190" s="11" t="n"/>
      <c r="J190" s="44">
        <f>IF(E190="","",TODAY()-E190)</f>
        <v/>
      </c>
      <c r="K190" s="11">
        <f>IF(OR(E190="",I190=""),"",IF(J190&gt;I190,"STALE","ok"))</f>
        <v/>
      </c>
      <c r="L190" s="11" t="n"/>
      <c r="M190" s="11" t="n"/>
    </row>
    <row r="191">
      <c r="A191" s="9" t="n"/>
      <c r="B191" s="9" t="n"/>
      <c r="C191" s="9" t="n"/>
      <c r="D191" s="9" t="n"/>
      <c r="E191" s="34" t="n"/>
      <c r="F191" s="9" t="n"/>
      <c r="G191" s="9" t="n"/>
      <c r="H191" s="9" t="n"/>
      <c r="I191" s="9" t="n"/>
      <c r="J191" s="43">
        <f>IF(E191="","",TODAY()-E191)</f>
        <v/>
      </c>
      <c r="K191" s="9">
        <f>IF(OR(E191="",I191=""),"",IF(J191&gt;I191,"STALE","ok"))</f>
        <v/>
      </c>
      <c r="L191" s="9" t="n"/>
      <c r="M191" s="9" t="n"/>
    </row>
    <row r="192">
      <c r="A192" s="11" t="n"/>
      <c r="B192" s="11" t="n"/>
      <c r="C192" s="11" t="n"/>
      <c r="D192" s="11" t="n"/>
      <c r="E192" s="37" t="n"/>
      <c r="F192" s="11" t="n"/>
      <c r="G192" s="11" t="n"/>
      <c r="H192" s="11" t="n"/>
      <c r="I192" s="11" t="n"/>
      <c r="J192" s="44">
        <f>IF(E192="","",TODAY()-E192)</f>
        <v/>
      </c>
      <c r="K192" s="11">
        <f>IF(OR(E192="",I192=""),"",IF(J192&gt;I192,"STALE","ok"))</f>
        <v/>
      </c>
      <c r="L192" s="11" t="n"/>
      <c r="M192" s="11" t="n"/>
    </row>
    <row r="193">
      <c r="A193" s="9" t="n"/>
      <c r="B193" s="9" t="n"/>
      <c r="C193" s="9" t="n"/>
      <c r="D193" s="9" t="n"/>
      <c r="E193" s="34" t="n"/>
      <c r="F193" s="9" t="n"/>
      <c r="G193" s="9" t="n"/>
      <c r="H193" s="9" t="n"/>
      <c r="I193" s="9" t="n"/>
      <c r="J193" s="43">
        <f>IF(E193="","",TODAY()-E193)</f>
        <v/>
      </c>
      <c r="K193" s="9">
        <f>IF(OR(E193="",I193=""),"",IF(J193&gt;I193,"STALE","ok"))</f>
        <v/>
      </c>
      <c r="L193" s="9" t="n"/>
      <c r="M193" s="9" t="n"/>
    </row>
    <row r="194">
      <c r="A194" s="11" t="n"/>
      <c r="B194" s="11" t="n"/>
      <c r="C194" s="11" t="n"/>
      <c r="D194" s="11" t="n"/>
      <c r="E194" s="37" t="n"/>
      <c r="F194" s="11" t="n"/>
      <c r="G194" s="11" t="n"/>
      <c r="H194" s="11" t="n"/>
      <c r="I194" s="11" t="n"/>
      <c r="J194" s="44">
        <f>IF(E194="","",TODAY()-E194)</f>
        <v/>
      </c>
      <c r="K194" s="11">
        <f>IF(OR(E194="",I194=""),"",IF(J194&gt;I194,"STALE","ok"))</f>
        <v/>
      </c>
      <c r="L194" s="11" t="n"/>
      <c r="M194" s="11" t="n"/>
    </row>
    <row r="195">
      <c r="A195" s="9" t="n"/>
      <c r="B195" s="9" t="n"/>
      <c r="C195" s="9" t="n"/>
      <c r="D195" s="9" t="n"/>
      <c r="E195" s="34" t="n"/>
      <c r="F195" s="9" t="n"/>
      <c r="G195" s="9" t="n"/>
      <c r="H195" s="9" t="n"/>
      <c r="I195" s="9" t="n"/>
      <c r="J195" s="43">
        <f>IF(E195="","",TODAY()-E195)</f>
        <v/>
      </c>
      <c r="K195" s="9">
        <f>IF(OR(E195="",I195=""),"",IF(J195&gt;I195,"STALE","ok"))</f>
        <v/>
      </c>
      <c r="L195" s="9" t="n"/>
      <c r="M195" s="9" t="n"/>
    </row>
    <row r="196">
      <c r="A196" s="11" t="n"/>
      <c r="B196" s="11" t="n"/>
      <c r="C196" s="11" t="n"/>
      <c r="D196" s="11" t="n"/>
      <c r="E196" s="37" t="n"/>
      <c r="F196" s="11" t="n"/>
      <c r="G196" s="11" t="n"/>
      <c r="H196" s="11" t="n"/>
      <c r="I196" s="11" t="n"/>
      <c r="J196" s="44">
        <f>IF(E196="","",TODAY()-E196)</f>
        <v/>
      </c>
      <c r="K196" s="11">
        <f>IF(OR(E196="",I196=""),"",IF(J196&gt;I196,"STALE","ok"))</f>
        <v/>
      </c>
      <c r="L196" s="11" t="n"/>
      <c r="M196" s="11" t="n"/>
    </row>
    <row r="197">
      <c r="A197" s="9" t="n"/>
      <c r="B197" s="9" t="n"/>
      <c r="C197" s="9" t="n"/>
      <c r="D197" s="9" t="n"/>
      <c r="E197" s="34" t="n"/>
      <c r="F197" s="9" t="n"/>
      <c r="G197" s="9" t="n"/>
      <c r="H197" s="9" t="n"/>
      <c r="I197" s="9" t="n"/>
      <c r="J197" s="43">
        <f>IF(E197="","",TODAY()-E197)</f>
        <v/>
      </c>
      <c r="K197" s="9">
        <f>IF(OR(E197="",I197=""),"",IF(J197&gt;I197,"STALE","ok"))</f>
        <v/>
      </c>
      <c r="L197" s="9" t="n"/>
      <c r="M197" s="9" t="n"/>
    </row>
    <row r="198">
      <c r="A198" s="11" t="n"/>
      <c r="B198" s="11" t="n"/>
      <c r="C198" s="11" t="n"/>
      <c r="D198" s="11" t="n"/>
      <c r="E198" s="37" t="n"/>
      <c r="F198" s="11" t="n"/>
      <c r="G198" s="11" t="n"/>
      <c r="H198" s="11" t="n"/>
      <c r="I198" s="11" t="n"/>
      <c r="J198" s="44">
        <f>IF(E198="","",TODAY()-E198)</f>
        <v/>
      </c>
      <c r="K198" s="11">
        <f>IF(OR(E198="",I198=""),"",IF(J198&gt;I198,"STALE","ok"))</f>
        <v/>
      </c>
      <c r="L198" s="11" t="n"/>
      <c r="M198" s="11" t="n"/>
    </row>
    <row r="199">
      <c r="A199" s="9" t="n"/>
      <c r="B199" s="9" t="n"/>
      <c r="C199" s="9" t="n"/>
      <c r="D199" s="9" t="n"/>
      <c r="E199" s="34" t="n"/>
      <c r="F199" s="9" t="n"/>
      <c r="G199" s="9" t="n"/>
      <c r="H199" s="9" t="n"/>
      <c r="I199" s="9" t="n"/>
      <c r="J199" s="43">
        <f>IF(E199="","",TODAY()-E199)</f>
        <v/>
      </c>
      <c r="K199" s="9">
        <f>IF(OR(E199="",I199=""),"",IF(J199&gt;I199,"STALE","ok"))</f>
        <v/>
      </c>
      <c r="L199" s="9" t="n"/>
      <c r="M199" s="9" t="n"/>
    </row>
    <row r="200">
      <c r="A200" s="11" t="n"/>
      <c r="B200" s="11" t="n"/>
      <c r="C200" s="11" t="n"/>
      <c r="D200" s="11" t="n"/>
      <c r="E200" s="37" t="n"/>
      <c r="F200" s="11" t="n"/>
      <c r="G200" s="11" t="n"/>
      <c r="H200" s="11" t="n"/>
      <c r="I200" s="11" t="n"/>
      <c r="J200" s="44">
        <f>IF(E200="","",TODAY()-E200)</f>
        <v/>
      </c>
      <c r="K200" s="11">
        <f>IF(OR(E200="",I200=""),"",IF(J200&gt;I200,"STALE","ok"))</f>
        <v/>
      </c>
      <c r="L200" s="11" t="n"/>
      <c r="M200" s="11" t="n"/>
    </row>
    <row r="201">
      <c r="A201" s="9" t="n"/>
      <c r="B201" s="9" t="n"/>
      <c r="C201" s="9" t="n"/>
      <c r="D201" s="9" t="n"/>
      <c r="E201" s="34" t="n"/>
      <c r="F201" s="9" t="n"/>
      <c r="G201" s="9" t="n"/>
      <c r="H201" s="9" t="n"/>
      <c r="I201" s="9" t="n"/>
      <c r="J201" s="43">
        <f>IF(E201="","",TODAY()-E201)</f>
        <v/>
      </c>
      <c r="K201" s="9">
        <f>IF(OR(E201="",I201=""),"",IF(J201&gt;I201,"STALE","ok"))</f>
        <v/>
      </c>
      <c r="L201" s="9" t="n"/>
      <c r="M201" s="9" t="n"/>
    </row>
    <row r="202">
      <c r="A202" s="11" t="n"/>
      <c r="B202" s="11" t="n"/>
      <c r="C202" s="11" t="n"/>
      <c r="D202" s="11" t="n"/>
      <c r="E202" s="37" t="n"/>
      <c r="F202" s="11" t="n"/>
      <c r="G202" s="11" t="n"/>
      <c r="H202" s="11" t="n"/>
      <c r="I202" s="11" t="n"/>
      <c r="J202" s="44">
        <f>IF(E202="","",TODAY()-E202)</f>
        <v/>
      </c>
      <c r="K202" s="11">
        <f>IF(OR(E202="",I202=""),"",IF(J202&gt;I202,"STALE","ok"))</f>
        <v/>
      </c>
      <c r="L202" s="11" t="n"/>
      <c r="M202" s="11" t="n"/>
    </row>
    <row r="203">
      <c r="A203" s="9" t="n"/>
      <c r="B203" s="9" t="n"/>
      <c r="C203" s="9" t="n"/>
      <c r="D203" s="9" t="n"/>
      <c r="E203" s="34" t="n"/>
      <c r="F203" s="9" t="n"/>
      <c r="G203" s="9" t="n"/>
      <c r="H203" s="9" t="n"/>
      <c r="I203" s="9" t="n"/>
      <c r="J203" s="43">
        <f>IF(E203="","",TODAY()-E203)</f>
        <v/>
      </c>
      <c r="K203" s="9">
        <f>IF(OR(E203="",I203=""),"",IF(J203&gt;I203,"STALE","ok"))</f>
        <v/>
      </c>
      <c r="L203" s="9" t="n"/>
      <c r="M203" s="9" t="n"/>
    </row>
    <row r="204">
      <c r="A204" s="11" t="n"/>
      <c r="B204" s="11" t="n"/>
      <c r="C204" s="11" t="n"/>
      <c r="D204" s="11" t="n"/>
      <c r="E204" s="37" t="n"/>
      <c r="F204" s="11" t="n"/>
      <c r="G204" s="11" t="n"/>
      <c r="H204" s="11" t="n"/>
      <c r="I204" s="11" t="n"/>
      <c r="J204" s="44">
        <f>IF(E204="","",TODAY()-E204)</f>
        <v/>
      </c>
      <c r="K204" s="11">
        <f>IF(OR(E204="",I204=""),"",IF(J204&gt;I204,"STALE","ok"))</f>
        <v/>
      </c>
      <c r="L204" s="11" t="n"/>
      <c r="M204" s="11" t="n"/>
    </row>
  </sheetData>
  <mergeCells count="1">
    <mergeCell ref="A2:M2"/>
  </mergeCells>
  <conditionalFormatting sqref="K5:K204">
    <cfRule type="cellIs" priority="1" operator="equal" dxfId="0">
      <formula>"STALE"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2" customWidth="1" min="4" max="4"/>
    <col width="56" customWidth="1" min="5" max="5"/>
    <col width="10" customWidth="1" min="6" max="6"/>
    <col width="14" customWidth="1" min="7" max="7"/>
    <col width="16" customWidth="1" min="8" max="8"/>
  </cols>
  <sheetData>
    <row r="1" ht="22" customHeight="1">
      <c r="A1" s="6" t="inlineStr">
        <is>
          <t>The 90-day pilot</t>
        </is>
      </c>
    </row>
    <row r="2" ht="30" customHeight="1">
      <c r="A2" s="7" t="inlineStr">
        <is>
          <t>Put a date against every gate as it closes. Do not tick a box you cannot evidence. The compliance gate at week 6 is absolute.</t>
        </is>
      </c>
    </row>
    <row r="4" ht="26" customHeight="1">
      <c r="A4" s="8" t="inlineStr">
        <is>
          <t>Wk</t>
        </is>
      </c>
      <c r="B4" s="8" t="inlineStr">
        <is>
          <t>Workstream</t>
        </is>
      </c>
      <c r="C4" s="8" t="inlineStr">
        <is>
          <t>Primary goal</t>
        </is>
      </c>
      <c r="D4" s="8" t="inlineStr">
        <is>
          <t>Output</t>
        </is>
      </c>
      <c r="E4" s="8" t="inlineStr">
        <is>
          <t>Gate / KPI</t>
        </is>
      </c>
      <c r="F4" s="8" t="inlineStr">
        <is>
          <t>Hours</t>
        </is>
      </c>
      <c r="G4" s="8" t="inlineStr">
        <is>
          <t>Status</t>
        </is>
      </c>
      <c r="H4" s="8" t="inlineStr">
        <is>
          <t>Date closed</t>
        </is>
      </c>
    </row>
    <row r="5">
      <c r="A5" s="9" t="n">
        <v>1</v>
      </c>
      <c r="B5" s="9" t="inlineStr">
        <is>
          <t>Compliance &amp; admin</t>
        </is>
      </c>
      <c r="C5" s="9" t="inlineStr">
        <is>
          <t>Legal right to operate</t>
        </is>
      </c>
      <c r="D5" s="9" t="inlineStr">
        <is>
          <t>MahaRERA application filed; training slot booked; entity, PAN/TAN, bank; CA engaged</t>
        </is>
      </c>
      <c r="E5" s="9" t="inlineStr">
        <is>
          <t>Application reference number in hand</t>
        </is>
      </c>
      <c r="F5" s="9" t="n">
        <v>40</v>
      </c>
      <c r="G5" s="9" t="inlineStr">
        <is>
          <t>Not started</t>
        </is>
      </c>
      <c r="H5" s="9" t="n"/>
    </row>
    <row r="6">
      <c r="A6" s="11" t="n">
        <v>1</v>
      </c>
      <c r="B6" s="11" t="inlineStr">
        <is>
          <t>System &amp; tooling</t>
        </is>
      </c>
      <c r="C6" s="11" t="inlineStr">
        <is>
          <t>Schema v1</t>
        </is>
      </c>
      <c r="D6" s="11" t="inlineStr">
        <is>
          <t>Geo hierarchy L0–L6; price_type and area_basis enums; source registry; immutable IDs</t>
        </is>
      </c>
      <c r="E6" s="11" t="inlineStr">
        <is>
          <t>Every fact requires geo_id + source_ref + observed_date</t>
        </is>
      </c>
      <c r="F6" s="11" t="n">
        <v>15</v>
      </c>
      <c r="G6" s="11" t="inlineStr">
        <is>
          <t>Not started</t>
        </is>
      </c>
      <c r="H6" s="11" t="n"/>
    </row>
    <row r="7">
      <c r="A7" s="9" t="n">
        <v>2</v>
      </c>
      <c r="B7" s="9" t="inlineStr">
        <is>
          <t>Compliance &amp; admin</t>
        </is>
      </c>
      <c r="C7" s="9" t="inlineStr">
        <is>
          <t>Certification in progress</t>
        </is>
      </c>
      <c r="D7" s="9" t="inlineStr">
        <is>
          <t>20-hour training underway; DPDP notice, consent text and retention policy drafted</t>
        </is>
      </c>
      <c r="E7" s="9" t="inlineStr">
        <is>
          <t>No regulated marketing until certificate issued</t>
        </is>
      </c>
      <c r="F7" s="9" t="n">
        <v>12</v>
      </c>
      <c r="G7" s="9" t="inlineStr">
        <is>
          <t>Not started</t>
        </is>
      </c>
      <c r="H7" s="9" t="n"/>
    </row>
    <row r="8">
      <c r="A8" s="11" t="n">
        <v>2</v>
      </c>
      <c r="B8" s="11" t="inlineStr">
        <is>
          <t>Desk research</t>
        </is>
      </c>
      <c r="C8" s="11" t="inlineStr">
        <is>
          <t>Corridor lock</t>
        </is>
      </c>
      <c r="D8" s="11" t="inlineStr">
        <is>
          <t>One corridor; 5 localities; 20–30 pockets named and mapped on verified boundaries</t>
        </is>
      </c>
      <c r="E8" s="11" t="inlineStr">
        <is>
          <t>Geography frozen for 90 days — written and dated</t>
        </is>
      </c>
      <c r="F8" s="11" t="n">
        <v>30</v>
      </c>
      <c r="G8" s="11" t="inlineStr">
        <is>
          <t>Not started</t>
        </is>
      </c>
      <c r="H8" s="11" t="n"/>
    </row>
    <row r="9">
      <c r="A9" s="9" t="n">
        <v>3</v>
      </c>
      <c r="B9" s="9" t="inlineStr">
        <is>
          <t>Desk research</t>
        </is>
      </c>
      <c r="C9" s="9" t="inlineStr">
        <is>
          <t>Statutory project register</t>
        </is>
      </c>
      <c r="D9" s="9" t="inlineStr">
        <is>
          <t>MahaRERA extract per project: promoter, RERA id, status, QPR, possession date</t>
        </is>
      </c>
      <c r="E9" s="9" t="inlineStr">
        <is>
          <t>100% of in-scope projects have a RERA record or an explicit 'not registered' flag</t>
        </is>
      </c>
      <c r="F9" s="9" t="n">
        <v>34</v>
      </c>
      <c r="G9" s="9" t="inlineStr">
        <is>
          <t>Not started</t>
        </is>
      </c>
      <c r="H9" s="9" t="n"/>
    </row>
    <row r="10">
      <c r="A10" s="11" t="n">
        <v>3</v>
      </c>
      <c r="B10" s="11" t="inlineStr">
        <is>
          <t>System &amp; tooling</t>
        </is>
      </c>
      <c r="C10" s="11" t="inlineStr">
        <is>
          <t>Data health harness</t>
        </is>
      </c>
      <c r="D10" s="11" t="inlineStr">
        <is>
          <t>stale_after_days per domain; conflict_flag; confidence; freshness dashboard</t>
        </is>
      </c>
      <c r="E10" s="11" t="inlineStr">
        <is>
          <t>Dashboard renders on real records, not samples</t>
        </is>
      </c>
      <c r="F10" s="11" t="n">
        <v>10</v>
      </c>
      <c r="G10" s="11" t="inlineStr">
        <is>
          <t>Not started</t>
        </is>
      </c>
      <c r="H10" s="11" t="n"/>
    </row>
    <row r="11">
      <c r="A11" s="9" t="n">
        <v>4</v>
      </c>
      <c r="B11" s="9" t="inlineStr">
        <is>
          <t>Desk research</t>
        </is>
      </c>
      <c r="C11" s="9" t="inlineStr">
        <is>
          <t>Price truth</t>
        </is>
      </c>
      <c r="D11" s="9" t="inlineStr">
        <is>
          <t>Registered (IGR) vs asking (portal) vs Ready Reckoner — each with area basis and n</t>
        </is>
      </c>
      <c r="E11" s="9" t="inlineStr">
        <is>
          <t>Zero blended price types; every aggregate shows n</t>
        </is>
      </c>
      <c r="F11" s="9" t="n">
        <v>32</v>
      </c>
      <c r="G11" s="9" t="inlineStr">
        <is>
          <t>Not started</t>
        </is>
      </c>
      <c r="H11" s="9" t="n"/>
    </row>
    <row r="12">
      <c r="A12" s="11" t="n">
        <v>4</v>
      </c>
      <c r="B12" s="11" t="inlineStr">
        <is>
          <t>Field intelligence</t>
        </is>
      </c>
      <c r="C12" s="11" t="inlineStr">
        <is>
          <t>First field wave</t>
        </is>
      </c>
      <c r="D12" s="11" t="inlineStr">
        <is>
          <t>8–10 site visits; 3 brokers per locality; society rules; maintenance; commute ×3 windows</t>
        </is>
      </c>
      <c r="E12" s="11" t="inlineStr">
        <is>
          <t>&gt;=3 independent field inputs per locality</t>
        </is>
      </c>
      <c r="F12" s="11" t="n">
        <v>14</v>
      </c>
      <c r="G12" s="11" t="inlineStr">
        <is>
          <t>Not started</t>
        </is>
      </c>
      <c r="H12" s="11" t="n"/>
    </row>
    <row r="13">
      <c r="A13" s="9" t="n">
        <v>5</v>
      </c>
      <c r="B13" s="9" t="inlineStr">
        <is>
          <t>Field intelligence</t>
        </is>
      </c>
      <c r="C13" s="9" t="inlineStr">
        <is>
          <t>Field depth</t>
        </is>
      </c>
      <c r="D13" s="9" t="inlineStr">
        <is>
          <t>Negotiability log: initial ask, revised quote, incentives, last closed comparable</t>
        </is>
      </c>
      <c r="E13" s="9" t="inlineStr">
        <is>
          <t>Discount-to-close observed on &gt;=10 units</t>
        </is>
      </c>
      <c r="F13" s="9" t="n">
        <v>20</v>
      </c>
      <c r="G13" s="9" t="inlineStr">
        <is>
          <t>Not started</t>
        </is>
      </c>
      <c r="H13" s="9" t="n"/>
    </row>
    <row r="14">
      <c r="A14" s="11" t="n">
        <v>5</v>
      </c>
      <c r="B14" s="11" t="inlineStr">
        <is>
          <t>Desk research</t>
        </is>
      </c>
      <c r="C14" s="11" t="inlineStr">
        <is>
          <t>Rental layer</t>
        </is>
      </c>
      <c r="D14" s="11" t="inlineStr">
        <is>
          <t>Rents by BHK and furnishing; deposit norms; tenant restrictions; vacancy proxies</t>
        </is>
      </c>
      <c r="E14" s="11" t="inlineStr">
        <is>
          <t>&gt;=10 usable rental observations per locality</t>
        </is>
      </c>
      <c r="F14" s="11" t="n">
        <v>16</v>
      </c>
      <c r="G14" s="11" t="inlineStr">
        <is>
          <t>Not started</t>
        </is>
      </c>
      <c r="H14" s="11" t="n"/>
    </row>
    <row r="15">
      <c r="A15" s="9" t="n">
        <v>6</v>
      </c>
      <c r="B15" s="9" t="inlineStr">
        <is>
          <t>System &amp; tooling</t>
        </is>
      </c>
      <c r="C15" s="9" t="inlineStr">
        <is>
          <t>Decision model</t>
        </is>
      </c>
      <c r="D15" s="9" t="inlineStr">
        <is>
          <t>Pocket scorecard; risk matrix; compare view; EMI, yield and all-in-cost calculators</t>
        </is>
      </c>
      <c r="E15" s="9" t="inlineStr">
        <is>
          <t>Every score traceable to a source_ref</t>
        </is>
      </c>
      <c r="F15" s="9" t="n">
        <v>22</v>
      </c>
      <c r="G15" s="9" t="inlineStr">
        <is>
          <t>Not started</t>
        </is>
      </c>
      <c r="H15" s="9" t="n"/>
    </row>
    <row r="16">
      <c r="A16" s="11" t="n">
        <v>6</v>
      </c>
      <c r="B16" s="11" t="inlineStr">
        <is>
          <t>Compliance &amp; admin</t>
        </is>
      </c>
      <c r="C16" s="11" t="inlineStr">
        <is>
          <t>Certificate + go-live gate</t>
        </is>
      </c>
      <c r="D16" s="11" t="inlineStr">
        <is>
          <t>Certificate of Competency issued; MahaRERA number live; QR artwork for all ads</t>
        </is>
      </c>
      <c r="E16" s="11" t="inlineStr">
        <is>
          <t>COMPLIANCE GATE: marketing may now begin</t>
        </is>
      </c>
      <c r="F16" s="11" t="n">
        <v>10</v>
      </c>
      <c r="G16" s="11" t="inlineStr">
        <is>
          <t>Not started</t>
        </is>
      </c>
      <c r="H16" s="11" t="n"/>
    </row>
    <row r="17">
      <c r="A17" s="9" t="n">
        <v>7</v>
      </c>
      <c r="B17" s="9" t="inlineStr">
        <is>
          <t>Demand generation</t>
        </is>
      </c>
      <c r="C17" s="9" t="inlineStr">
        <is>
          <t>Lead engine switch-on</t>
        </is>
      </c>
      <c r="D17" s="9" t="inlineStr">
        <is>
          <t>Buyer personas; referral map (alumni, CA, lender, corporate HR); pocket brief #1</t>
        </is>
      </c>
      <c r="E17" s="9" t="inlineStr">
        <is>
          <t>First 10 qualified leads; source tagged on every one</t>
        </is>
      </c>
      <c r="F17" s="9" t="n">
        <v>24</v>
      </c>
      <c r="G17" s="9" t="inlineStr">
        <is>
          <t>Not started</t>
        </is>
      </c>
      <c r="H17" s="9" t="n"/>
    </row>
    <row r="18">
      <c r="A18" s="11" t="n">
        <v>7</v>
      </c>
      <c r="B18" s="11" t="inlineStr">
        <is>
          <t>Deal execution</t>
        </is>
      </c>
      <c r="C18" s="11" t="inlineStr">
        <is>
          <t>Deal workflow</t>
        </is>
      </c>
      <c r="D18" s="11" t="inlineStr">
        <is>
          <t>Client-fit questionnaire, shortlist template, visit script, negotiation and document checklists</t>
        </is>
      </c>
      <c r="E18" s="11" t="inlineStr">
        <is>
          <t>Playbook written before first live client</t>
        </is>
      </c>
      <c r="F18" s="11" t="n">
        <v>12</v>
      </c>
      <c r="G18" s="11" t="inlineStr">
        <is>
          <t>Not started</t>
        </is>
      </c>
      <c r="H18" s="11" t="n"/>
    </row>
    <row r="19">
      <c r="A19" s="9" t="n">
        <v>8</v>
      </c>
      <c r="B19" s="9" t="inlineStr">
        <is>
          <t>Demand generation</t>
        </is>
      </c>
      <c r="C19" s="9" t="inlineStr">
        <is>
          <t>Distribution</t>
        </is>
      </c>
      <c r="D19" s="9" t="inlineStr">
        <is>
          <t>Weekly brief cadence; 2 co-broking agreements; 1 developer channel registration</t>
        </is>
      </c>
      <c r="E19" s="9" t="inlineStr">
        <is>
          <t>Inbound response rate measured, not assumed</t>
        </is>
      </c>
      <c r="F19" s="9" t="n">
        <v>22</v>
      </c>
      <c r="G19" s="9" t="inlineStr">
        <is>
          <t>Not started</t>
        </is>
      </c>
      <c r="H19" s="9" t="n"/>
    </row>
    <row r="20">
      <c r="A20" s="11" t="n">
        <v>8</v>
      </c>
      <c r="B20" s="11" t="inlineStr">
        <is>
          <t>Deal execution</t>
        </is>
      </c>
      <c r="C20" s="11" t="inlineStr">
        <is>
          <t>First live clients</t>
        </is>
      </c>
      <c r="D20" s="11" t="inlineStr">
        <is>
          <t>Client matching run against real inventory; 5+ site visits accompanied</t>
        </is>
      </c>
      <c r="E20" s="11" t="inlineStr">
        <is>
          <t>Every lead has a next action and a date</t>
        </is>
      </c>
      <c r="F20" s="11" t="n">
        <v>16</v>
      </c>
      <c r="G20" s="11" t="inlineStr">
        <is>
          <t>Not started</t>
        </is>
      </c>
      <c r="H20" s="11" t="n"/>
    </row>
    <row r="21">
      <c r="A21" s="9" t="n">
        <v>9</v>
      </c>
      <c r="B21" s="9" t="inlineStr">
        <is>
          <t>Deal execution</t>
        </is>
      </c>
      <c r="C21" s="9" t="inlineStr">
        <is>
          <t>Negotiation cycle</t>
        </is>
      </c>
      <c r="D21" s="9" t="inlineStr">
        <is>
          <t>Offers, counters, seller and developer coordination, diligence with counsel</t>
        </is>
      </c>
      <c r="E21" s="9" t="inlineStr">
        <is>
          <t>First offers on the table</t>
        </is>
      </c>
      <c r="F21" s="9" t="n">
        <v>24</v>
      </c>
      <c r="G21" s="9" t="inlineStr">
        <is>
          <t>Not started</t>
        </is>
      </c>
      <c r="H21" s="9" t="n"/>
    </row>
    <row r="22">
      <c r="A22" s="11" t="n">
        <v>9</v>
      </c>
      <c r="B22" s="11" t="inlineStr">
        <is>
          <t>System &amp; tooling</t>
        </is>
      </c>
      <c r="C22" s="11" t="inlineStr">
        <is>
          <t>CRM discipline</t>
        </is>
      </c>
      <c r="D22" s="11" t="inlineStr">
        <is>
          <t>Every lead, unit, visit, objection and next action recorded in the workbook</t>
        </is>
      </c>
      <c r="E22" s="11" t="inlineStr">
        <is>
          <t>Zero deals tracked in WhatsApp only</t>
        </is>
      </c>
      <c r="F22" s="11" t="n">
        <v>10</v>
      </c>
      <c r="G22" s="11" t="inlineStr">
        <is>
          <t>Not started</t>
        </is>
      </c>
      <c r="H22" s="11" t="n"/>
    </row>
    <row r="23">
      <c r="A23" s="9" t="n">
        <v>10</v>
      </c>
      <c r="B23" s="9" t="inlineStr">
        <is>
          <t>Deal execution</t>
        </is>
      </c>
      <c r="C23" s="9" t="inlineStr">
        <is>
          <t>Closure push</t>
        </is>
      </c>
      <c r="D23" s="9" t="inlineStr">
        <is>
          <t>Live negotiations driven to agreement; loan, legal and registration coordinated</t>
        </is>
      </c>
      <c r="E23" s="9" t="inlineStr">
        <is>
          <t>First closure or documented near-term pipeline</t>
        </is>
      </c>
      <c r="F23" s="9" t="n">
        <v>26</v>
      </c>
      <c r="G23" s="9" t="inlineStr">
        <is>
          <t>Not started</t>
        </is>
      </c>
      <c r="H23" s="9" t="n"/>
    </row>
    <row r="24">
      <c r="A24" s="11" t="n">
        <v>10</v>
      </c>
      <c r="B24" s="11" t="inlineStr">
        <is>
          <t>Demand generation</t>
        </is>
      </c>
      <c r="C24" s="11" t="inlineStr">
        <is>
          <t>Referral loop</t>
        </is>
      </c>
      <c r="D24" s="11" t="inlineStr">
        <is>
          <t>Post-visit follow-up system; referral ask scripted into every interaction</t>
        </is>
      </c>
      <c r="E24" s="11" t="inlineStr">
        <is>
          <t>Referral coefficient measured</t>
        </is>
      </c>
      <c r="F24" s="11" t="n">
        <v>12</v>
      </c>
      <c r="G24" s="11" t="inlineStr">
        <is>
          <t>Not started</t>
        </is>
      </c>
      <c r="H24" s="11" t="n"/>
    </row>
    <row r="25">
      <c r="A25" s="9" t="n">
        <v>11</v>
      </c>
      <c r="B25" s="9" t="inlineStr">
        <is>
          <t>System &amp; tooling</t>
        </is>
      </c>
      <c r="C25" s="9" t="inlineStr">
        <is>
          <t>Evidence capture</t>
        </is>
      </c>
      <c r="D25" s="9" t="inlineStr">
        <is>
          <t>Closed prices, lost reasons, objections and counterparty response times captured</t>
        </is>
      </c>
      <c r="E25" s="9" t="inlineStr">
        <is>
          <t>Top 5 objections and top 5 data gaps visible</t>
        </is>
      </c>
      <c r="F25" s="9" t="n">
        <v>18</v>
      </c>
      <c r="G25" s="9" t="inlineStr">
        <is>
          <t>Not started</t>
        </is>
      </c>
      <c r="H25" s="9" t="n"/>
    </row>
    <row r="26">
      <c r="A26" s="11" t="n">
        <v>11</v>
      </c>
      <c r="B26" s="11" t="inlineStr">
        <is>
          <t>Desk research</t>
        </is>
      </c>
      <c r="C26" s="11" t="inlineStr">
        <is>
          <t>Gap remediation</t>
        </is>
      </c>
      <c r="D26" s="11" t="inlineStr">
        <is>
          <t>The data gaps live deals exposed are filled — the only gaps that matter</t>
        </is>
      </c>
      <c r="E26" s="11" t="inlineStr">
        <is>
          <t>Gap list shrinks week over week</t>
        </is>
      </c>
      <c r="F26" s="11" t="n">
        <v>16</v>
      </c>
      <c r="G26" s="11" t="inlineStr">
        <is>
          <t>Not started</t>
        </is>
      </c>
      <c r="H26" s="11" t="n"/>
    </row>
    <row r="27">
      <c r="A27" s="9" t="n">
        <v>12</v>
      </c>
      <c r="B27" s="9" t="inlineStr">
        <is>
          <t>Compliance &amp; admin</t>
        </is>
      </c>
      <c r="C27" s="9" t="inlineStr">
        <is>
          <t>Half-yearly readiness</t>
        </is>
      </c>
      <c r="D27" s="9" t="inlineStr">
        <is>
          <t>Books, client files, source records and deal files in filing-ready state</t>
        </is>
      </c>
      <c r="E27" s="9" t="inlineStr">
        <is>
          <t>MahaRERA half-yearly report can be produced in one day</t>
        </is>
      </c>
      <c r="F27" s="9" t="n">
        <v>12</v>
      </c>
      <c r="G27" s="9" t="inlineStr">
        <is>
          <t>Not started</t>
        </is>
      </c>
      <c r="H27" s="9" t="n"/>
    </row>
    <row r="28">
      <c r="A28" s="11" t="n">
        <v>12</v>
      </c>
      <c r="B28" s="11" t="inlineStr">
        <is>
          <t>System &amp; tooling</t>
        </is>
      </c>
      <c r="C28" s="11" t="inlineStr">
        <is>
          <t>Decision gate</t>
        </is>
      </c>
      <c r="D28" s="11" t="inlineStr">
        <is>
          <t>90-day review against every gate; the go / hold / pivot memo written and dated</t>
        </is>
      </c>
      <c r="E28" s="11" t="inlineStr">
        <is>
          <t>Expand only on evidence — decision recorded and dated</t>
        </is>
      </c>
      <c r="F28" s="11" t="n">
        <v>22</v>
      </c>
      <c r="G28" s="11" t="inlineStr">
        <is>
          <t>Not started</t>
        </is>
      </c>
      <c r="H28" s="11" t="n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9" customWidth="1" min="3" max="3"/>
    <col width="9" customWidth="1" min="4" max="4"/>
    <col width="74" customWidth="1" min="5" max="5"/>
    <col width="14" customWidth="1" min="6" max="6"/>
    <col width="16" customWidth="1" min="7" max="7"/>
  </cols>
  <sheetData>
    <row r="1" ht="22" customHeight="1">
      <c r="A1" s="6" t="inlineStr">
        <is>
          <t>Twelve-month schedule</t>
        </is>
      </c>
    </row>
    <row r="2" ht="30" customHeight="1">
      <c r="A2" s="7" t="inlineStr">
        <is>
          <t>Every bar ends at a gate, not a date. Expansion is conditional on the corridor-1 economics repeating without the founder in every step.</t>
        </is>
      </c>
    </row>
    <row r="4" ht="26" customHeight="1">
      <c r="A4" s="8" t="inlineStr">
        <is>
          <t>Workstream</t>
        </is>
      </c>
      <c r="B4" s="8" t="inlineStr">
        <is>
          <t>Category</t>
        </is>
      </c>
      <c r="C4" s="8" t="inlineStr">
        <is>
          <t>Start M</t>
        </is>
      </c>
      <c r="D4" s="8" t="inlineStr">
        <is>
          <t>End M</t>
        </is>
      </c>
      <c r="E4" s="8" t="inlineStr">
        <is>
          <t>Closing gate</t>
        </is>
      </c>
      <c r="F4" s="8" t="inlineStr">
        <is>
          <t>Status</t>
        </is>
      </c>
      <c r="G4" s="8" t="inlineStr">
        <is>
          <t>Date closed</t>
        </is>
      </c>
    </row>
    <row r="5">
      <c r="A5" s="9" t="inlineStr">
        <is>
          <t>Compliance &amp; certification</t>
        </is>
      </c>
      <c r="B5" s="9" t="inlineStr">
        <is>
          <t>Compliance &amp; admin</t>
        </is>
      </c>
      <c r="C5" s="9" t="n">
        <v>1</v>
      </c>
      <c r="D5" s="9" t="n">
        <v>2</v>
      </c>
      <c r="E5" s="9" t="inlineStr">
        <is>
          <t>Certificate of Competency + MahaRERA ID issued</t>
        </is>
      </c>
      <c r="F5" s="9" t="inlineStr">
        <is>
          <t>Not started</t>
        </is>
      </c>
      <c r="G5" s="9" t="n"/>
    </row>
    <row r="6">
      <c r="A6" s="11" t="inlineStr">
        <is>
          <t>Entity, tax &amp; data governance</t>
        </is>
      </c>
      <c r="B6" s="11" t="inlineStr">
        <is>
          <t>Compliance &amp; admin</t>
        </is>
      </c>
      <c r="C6" s="11" t="n">
        <v>1</v>
      </c>
      <c r="D6" s="11" t="n">
        <v>2</v>
      </c>
      <c r="E6" s="11" t="inlineStr">
        <is>
          <t>GST/TDS position confirmed; DPDP notice+consent live</t>
        </is>
      </c>
      <c r="F6" s="11" t="inlineStr">
        <is>
          <t>Not started</t>
        </is>
      </c>
      <c r="G6" s="11" t="n"/>
    </row>
    <row r="7">
      <c r="A7" s="9" t="inlineStr">
        <is>
          <t>Schema, IDs &amp; source registry</t>
        </is>
      </c>
      <c r="B7" s="9" t="inlineStr">
        <is>
          <t>System &amp; tooling</t>
        </is>
      </c>
      <c r="C7" s="9" t="n">
        <v>1</v>
      </c>
      <c r="D7" s="9" t="n">
        <v>2</v>
      </c>
      <c r="E7" s="9" t="inlineStr">
        <is>
          <t>No fact without geo_id + source_ref + observed_date</t>
        </is>
      </c>
      <c r="F7" s="9" t="inlineStr">
        <is>
          <t>Not started</t>
        </is>
      </c>
      <c r="G7" s="9" t="n"/>
    </row>
    <row r="8">
      <c r="A8" s="11" t="inlineStr">
        <is>
          <t>Corridor selection &amp; market tree</t>
        </is>
      </c>
      <c r="B8" s="11" t="inlineStr">
        <is>
          <t>Desk research</t>
        </is>
      </c>
      <c r="C8" s="11" t="n">
        <v>1</v>
      </c>
      <c r="D8" s="11" t="n">
        <v>2</v>
      </c>
      <c r="E8" s="11" t="inlineStr">
        <is>
          <t>5 localities, 20–30 pockets locked; no expansion</t>
        </is>
      </c>
      <c r="F8" s="11" t="inlineStr">
        <is>
          <t>Not started</t>
        </is>
      </c>
      <c r="G8" s="11" t="n"/>
    </row>
    <row r="9">
      <c r="A9" s="9" t="inlineStr">
        <is>
          <t>Deep desk research — Phase 1</t>
        </is>
      </c>
      <c r="B9" s="9" t="inlineStr">
        <is>
          <t>Desk research</t>
        </is>
      </c>
      <c r="C9" s="9" t="n">
        <v>2</v>
      </c>
      <c r="D9" s="9" t="n">
        <v>5</v>
      </c>
      <c r="E9" s="9" t="inlineStr">
        <is>
          <t>&gt;=80% source completeness on Phase-1 field set</t>
        </is>
      </c>
      <c r="F9" s="9" t="inlineStr">
        <is>
          <t>Not started</t>
        </is>
      </c>
      <c r="G9" s="9" t="n"/>
    </row>
    <row r="10">
      <c r="A10" s="11" t="inlineStr">
        <is>
          <t>Field intelligence programme</t>
        </is>
      </c>
      <c r="B10" s="11" t="inlineStr">
        <is>
          <t>Field intelligence</t>
        </is>
      </c>
      <c r="C10" s="11" t="n">
        <v>2</v>
      </c>
      <c r="D10" s="11" t="n">
        <v>6</v>
      </c>
      <c r="E10" s="11" t="inlineStr">
        <is>
          <t>&gt;=3 independent field inputs per locality</t>
        </is>
      </c>
      <c r="F10" s="11" t="inlineStr">
        <is>
          <t>Not started</t>
        </is>
      </c>
      <c r="G10" s="11" t="n"/>
    </row>
    <row r="11">
      <c r="A11" s="9" t="inlineStr">
        <is>
          <t>Price truth &amp; comparable engine</t>
        </is>
      </c>
      <c r="B11" s="9" t="inlineStr">
        <is>
          <t>Desk research</t>
        </is>
      </c>
      <c r="C11" s="9" t="n">
        <v>3</v>
      </c>
      <c r="D11" s="9" t="n">
        <v>5</v>
      </c>
      <c r="E11" s="9" t="inlineStr">
        <is>
          <t>Registered / asking / RR separated with n and basis</t>
        </is>
      </c>
      <c r="F11" s="9" t="inlineStr">
        <is>
          <t>Not started</t>
        </is>
      </c>
      <c r="G11" s="9" t="n"/>
    </row>
    <row r="12">
      <c r="A12" s="11" t="inlineStr">
        <is>
          <t>Scorecards &amp; client-fit model</t>
        </is>
      </c>
      <c r="B12" s="11" t="inlineStr">
        <is>
          <t>System &amp; tooling</t>
        </is>
      </c>
      <c r="C12" s="11" t="n">
        <v>4</v>
      </c>
      <c r="D12" s="11" t="n">
        <v>6</v>
      </c>
      <c r="E12" s="11" t="inlineStr">
        <is>
          <t>Every score traceable to inputs</t>
        </is>
      </c>
      <c r="F12" s="11" t="inlineStr">
        <is>
          <t>Not started</t>
        </is>
      </c>
      <c r="G12" s="11" t="n"/>
    </row>
    <row r="13">
      <c r="A13" s="9" t="inlineStr">
        <is>
          <t>Lead engine pilot</t>
        </is>
      </c>
      <c r="B13" s="9" t="inlineStr">
        <is>
          <t>Demand generation</t>
        </is>
      </c>
      <c r="C13" s="9" t="n">
        <v>3</v>
      </c>
      <c r="D13" s="9" t="n">
        <v>7</v>
      </c>
      <c r="E13" s="9" t="inlineStr">
        <is>
          <t>30 qualified leads; CAC measured by channel</t>
        </is>
      </c>
      <c r="F13" s="9" t="inlineStr">
        <is>
          <t>Not started</t>
        </is>
      </c>
      <c r="G13" s="9" t="n"/>
    </row>
    <row r="14">
      <c r="A14" s="11" t="inlineStr">
        <is>
          <t>Deal execution &amp; first closures</t>
        </is>
      </c>
      <c r="B14" s="11" t="inlineStr">
        <is>
          <t>Deal execution</t>
        </is>
      </c>
      <c r="C14" s="11" t="n">
        <v>4</v>
      </c>
      <c r="D14" s="11" t="n">
        <v>9</v>
      </c>
      <c r="E14" s="11" t="inlineStr">
        <is>
          <t>First closures + written post-mortems</t>
        </is>
      </c>
      <c r="F14" s="11" t="inlineStr">
        <is>
          <t>Not started</t>
        </is>
      </c>
      <c r="G14" s="11" t="n"/>
    </row>
    <row r="15">
      <c r="A15" s="9" t="inlineStr">
        <is>
          <t>CRM, calculators &amp; data health</t>
        </is>
      </c>
      <c r="B15" s="9" t="inlineStr">
        <is>
          <t>System &amp; tooling</t>
        </is>
      </c>
      <c r="C15" s="9" t="n">
        <v>5</v>
      </c>
      <c r="D15" s="9" t="n">
        <v>8</v>
      </c>
      <c r="E15" s="9" t="inlineStr">
        <is>
          <t>Used on every live lead, not a side project</t>
        </is>
      </c>
      <c r="F15" s="9" t="inlineStr">
        <is>
          <t>Not started</t>
        </is>
      </c>
      <c r="G15" s="9" t="n"/>
    </row>
    <row r="16">
      <c r="A16" s="11" t="inlineStr">
        <is>
          <t>Rental &amp; corporate desk</t>
        </is>
      </c>
      <c r="B16" s="11" t="inlineStr">
        <is>
          <t>Deal execution</t>
        </is>
      </c>
      <c r="C16" s="11" t="n">
        <v>6</v>
      </c>
      <c r="D16" s="11" t="n">
        <v>10</v>
      </c>
      <c r="E16" s="11" t="inlineStr">
        <is>
          <t>Second revenue line covering fixed costs</t>
        </is>
      </c>
      <c r="F16" s="11" t="inlineStr">
        <is>
          <t>Not started</t>
        </is>
      </c>
      <c r="G16" s="11" t="n"/>
    </row>
    <row r="17">
      <c r="A17" s="9" t="inlineStr">
        <is>
          <t>Corridor 2 expansion</t>
        </is>
      </c>
      <c r="B17" s="9" t="inlineStr">
        <is>
          <t>Desk research</t>
        </is>
      </c>
      <c r="C17" s="9" t="n">
        <v>8</v>
      </c>
      <c r="D17" s="9" t="n">
        <v>11</v>
      </c>
      <c r="E17" s="9" t="inlineStr">
        <is>
          <t>Only if pilot unit economics repeat</t>
        </is>
      </c>
      <c r="F17" s="9" t="inlineStr">
        <is>
          <t>Not started</t>
        </is>
      </c>
      <c r="G17" s="9" t="n"/>
    </row>
    <row r="18">
      <c r="A18" s="11" t="inlineStr">
        <is>
          <t>Corridor 3 expansion</t>
        </is>
      </c>
      <c r="B18" s="11" t="inlineStr">
        <is>
          <t>Desk research</t>
        </is>
      </c>
      <c r="C18" s="11" t="n">
        <v>10</v>
      </c>
      <c r="D18" s="11" t="n">
        <v>12</v>
      </c>
      <c r="E18" s="11" t="inlineStr">
        <is>
          <t>Only if corridor 2 replicates without founder</t>
        </is>
      </c>
      <c r="F18" s="11" t="inlineStr">
        <is>
          <t>Not started</t>
        </is>
      </c>
      <c r="G18" s="11" t="n"/>
    </row>
    <row r="19">
      <c r="A19" s="9" t="inlineStr">
        <is>
          <t>Automation &amp; change monitoring</t>
        </is>
      </c>
      <c r="B19" s="9" t="inlineStr">
        <is>
          <t>System &amp; tooling</t>
        </is>
      </c>
      <c r="C19" s="9" t="n">
        <v>10</v>
      </c>
      <c r="D19" s="9" t="n">
        <v>12</v>
      </c>
      <c r="E19" s="9" t="inlineStr">
        <is>
          <t>Automate checks, never judgement</t>
        </is>
      </c>
      <c r="F19" s="9" t="inlineStr">
        <is>
          <t>Not started</t>
        </is>
      </c>
      <c r="G19" s="9" t="n"/>
    </row>
    <row r="20">
      <c r="A20" s="11" t="inlineStr">
        <is>
          <t>Year-2 plan &amp; first hire</t>
        </is>
      </c>
      <c r="B20" s="11" t="inlineStr">
        <is>
          <t>Compliance &amp; admin</t>
        </is>
      </c>
      <c r="C20" s="11" t="n">
        <v>11</v>
      </c>
      <c r="D20" s="11" t="n">
        <v>12</v>
      </c>
      <c r="E20" s="11" t="inlineStr">
        <is>
          <t>Hire only against a measured bottleneck</t>
        </is>
      </c>
      <c r="F20" s="11" t="inlineStr">
        <is>
          <t>Not started</t>
        </is>
      </c>
      <c r="G20" s="11" t="n"/>
    </row>
  </sheetData>
  <mergeCells count="1"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  <col width="20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 ht="22" customHeight="1">
      <c r="A1" s="6" t="inlineStr">
        <is>
          <t>Compliance obligations</t>
        </is>
      </c>
    </row>
    <row r="2" ht="30" customHeight="1">
      <c r="A2" s="7" t="inlineStr">
        <is>
          <t>Criticality 3 obligations can end the venture, not merely delay it. Every row is a diary entry with a named owner and an evidence file, from week 1.</t>
        </is>
      </c>
    </row>
    <row r="4" ht="26" customHeight="1">
      <c r="A4" s="8" t="inlineStr">
        <is>
          <t>Obligation</t>
        </is>
      </c>
      <c r="B4" s="8" t="inlineStr">
        <is>
          <t>Trigger</t>
        </is>
      </c>
      <c r="C4" s="8" t="inlineStr">
        <is>
          <t>Cost / penalty</t>
        </is>
      </c>
      <c r="D4" s="8" t="inlineStr">
        <is>
          <t>Cadence</t>
        </is>
      </c>
      <c r="E4" s="8" t="inlineStr">
        <is>
          <t>Source</t>
        </is>
      </c>
      <c r="F4" s="8" t="inlineStr">
        <is>
          <t>Crit.</t>
        </is>
      </c>
      <c r="G4" s="8" t="inlineStr">
        <is>
          <t>Status</t>
        </is>
      </c>
      <c r="H4" s="8" t="inlineStr">
        <is>
          <t>Next due</t>
        </is>
      </c>
    </row>
    <row r="5">
      <c r="A5" s="9" t="inlineStr">
        <is>
          <t>MahaRERA agent registration</t>
        </is>
      </c>
      <c r="B5" s="9" t="inlineStr">
        <is>
          <t>Before any dealing, advertising or brokerage of a RERA-registered project</t>
        </is>
      </c>
      <c r="C5" s="9" t="inlineStr">
        <is>
          <t>Rs 10,000 individual / Rs 1,00,000 firm; valid 5 years</t>
        </is>
      </c>
      <c r="D5" s="9" t="inlineStr">
        <is>
          <t>Once, then 5-yearly</t>
        </is>
      </c>
      <c r="E5" s="9" t="inlineStr">
        <is>
          <t>SRC-001,SRC-003</t>
        </is>
      </c>
      <c r="F5" s="9" t="n">
        <v>3</v>
      </c>
      <c r="G5" s="9" t="inlineStr">
        <is>
          <t>Not started</t>
        </is>
      </c>
      <c r="H5" s="34" t="n"/>
    </row>
    <row r="6">
      <c r="A6" s="11" t="inlineStr">
        <is>
          <t>Certificate of Competency</t>
        </is>
      </c>
      <c r="B6" s="11" t="inlineStr">
        <is>
          <t>Mandatory for registration/renewal from Jan 2026</t>
        </is>
      </c>
      <c r="C6" s="11" t="inlineStr">
        <is>
          <t>20-hr training Rs 5,000–8,000 + exam Rs 1,500–1,800; valid 5 years</t>
        </is>
      </c>
      <c r="D6" s="11" t="inlineStr">
        <is>
          <t>Once, then 5-yearly</t>
        </is>
      </c>
      <c r="E6" s="11" t="inlineStr">
        <is>
          <t>SRC-002</t>
        </is>
      </c>
      <c r="F6" s="11" t="n">
        <v>3</v>
      </c>
      <c r="G6" s="11" t="inlineStr">
        <is>
          <t>Not started</t>
        </is>
      </c>
      <c r="H6" s="37" t="n"/>
    </row>
    <row r="7">
      <c r="A7" s="9" t="inlineStr">
        <is>
          <t>QR code &amp; disclosure in advertisements</t>
        </is>
      </c>
      <c r="B7" s="9" t="inlineStr">
        <is>
          <t>Every advertisement, digital or print</t>
        </is>
      </c>
      <c r="C7" s="9" t="inlineStr">
        <is>
          <t>Rs 10,000–50,000 per violation; 10-day cure then continuing offence</t>
        </is>
      </c>
      <c r="D7" s="9" t="inlineStr">
        <is>
          <t>Every campaign asset</t>
        </is>
      </c>
      <c r="E7" s="9" t="inlineStr">
        <is>
          <t>SRC-017</t>
        </is>
      </c>
      <c r="F7" s="9" t="n">
        <v>3</v>
      </c>
      <c r="G7" s="9" t="inlineStr">
        <is>
          <t>Not started</t>
        </is>
      </c>
      <c r="H7" s="34" t="n"/>
    </row>
    <row r="8">
      <c r="A8" s="11" t="inlineStr">
        <is>
          <t>Half-yearly compliance report</t>
        </is>
      </c>
      <c r="B8" s="11" t="inlineStr">
        <is>
          <t>Registered agent facilitating transactions</t>
        </is>
      </c>
      <c r="C8" s="11" t="inlineStr">
        <is>
          <t>Penalty for delay; possible suspension of registration</t>
        </is>
      </c>
      <c r="D8" s="11" t="inlineStr">
        <is>
          <t>Half-yearly</t>
        </is>
      </c>
      <c r="E8" s="11" t="inlineStr">
        <is>
          <t>SRC-018</t>
        </is>
      </c>
      <c r="F8" s="11" t="n">
        <v>3</v>
      </c>
      <c r="G8" s="11" t="inlineStr">
        <is>
          <t>Not started</t>
        </is>
      </c>
      <c r="H8" s="37" t="n"/>
    </row>
    <row r="9">
      <c r="A9" s="9" t="inlineStr">
        <is>
          <t>Books, records and client files</t>
        </is>
      </c>
      <c r="B9" s="9" t="inlineStr">
        <is>
          <t>Statutory obligation on registered agents</t>
        </is>
      </c>
      <c r="C9" s="9" t="inlineStr">
        <is>
          <t>Suspension risk; evidential exposure in disputes</t>
        </is>
      </c>
      <c r="D9" s="9" t="inlineStr">
        <is>
          <t>Continuous</t>
        </is>
      </c>
      <c r="E9" s="9" t="inlineStr">
        <is>
          <t>SRC-003</t>
        </is>
      </c>
      <c r="F9" s="9" t="n">
        <v>2</v>
      </c>
      <c r="G9" s="9" t="inlineStr">
        <is>
          <t>Not started</t>
        </is>
      </c>
      <c r="H9" s="34" t="n"/>
    </row>
    <row r="10">
      <c r="A10" s="11" t="inlineStr">
        <is>
          <t>GST registration</t>
        </is>
      </c>
      <c r="B10" s="11" t="inlineStr">
        <is>
          <t>Aggregate taxable turnover above Rs 20 lakh (services), subject to exceptions</t>
        </is>
      </c>
      <c r="C10" s="11" t="inlineStr">
        <is>
          <t>18% on brokerage under heading 9972</t>
        </is>
      </c>
      <c r="D10" s="11" t="inlineStr">
        <is>
          <t>Monthly/quarterly returns</t>
        </is>
      </c>
      <c r="E10" s="11" t="inlineStr">
        <is>
          <t>SRC-011,SRC-012</t>
        </is>
      </c>
      <c r="F10" s="11" t="n">
        <v>2</v>
      </c>
      <c r="G10" s="11" t="inlineStr">
        <is>
          <t>Not started</t>
        </is>
      </c>
      <c r="H10" s="37" t="n"/>
    </row>
    <row r="11">
      <c r="A11" s="9" t="inlineStr">
        <is>
          <t>TDS on commission received (194H)</t>
        </is>
      </c>
      <c r="B11" s="9" t="inlineStr">
        <is>
          <t>Payer deducts 2% above Rs 20,000 p.a.</t>
        </is>
      </c>
      <c r="C11" s="9" t="inlineStr">
        <is>
          <t>Cash-flow effect; reconcile in 26AS/AIS</t>
        </is>
      </c>
      <c r="D11" s="9" t="inlineStr">
        <is>
          <t>Per payment</t>
        </is>
      </c>
      <c r="E11" s="9" t="inlineStr">
        <is>
          <t>SRC-024</t>
        </is>
      </c>
      <c r="F11" s="9" t="n">
        <v>1</v>
      </c>
      <c r="G11" s="9" t="inlineStr">
        <is>
          <t>Not started</t>
        </is>
      </c>
      <c r="H11" s="34" t="n"/>
    </row>
    <row r="12">
      <c r="A12" s="11" t="inlineStr">
        <is>
          <t>Advise client on 194-IA</t>
        </is>
      </c>
      <c r="B12" s="11" t="inlineStr">
        <is>
          <t>Buyer must deduct 1% where consideration &gt;= Rs 50 lakh</t>
        </is>
      </c>
      <c r="C12" s="11" t="inlineStr">
        <is>
          <t>Client-side penalty exposure; Form 26QB within 30 days</t>
        </is>
      </c>
      <c r="D12" s="11" t="inlineStr">
        <is>
          <t>Per transaction</t>
        </is>
      </c>
      <c r="E12" s="11" t="inlineStr">
        <is>
          <t>SRC-024</t>
        </is>
      </c>
      <c r="F12" s="11" t="n">
        <v>2</v>
      </c>
      <c r="G12" s="11" t="inlineStr">
        <is>
          <t>Not started</t>
        </is>
      </c>
      <c r="H12" s="37" t="n"/>
    </row>
    <row r="13">
      <c r="A13" s="9" t="inlineStr">
        <is>
          <t>DPDP notice, consent &amp; retention</t>
        </is>
      </c>
      <c r="B13" s="9" t="inlineStr">
        <is>
          <t>Any collection of client personal data</t>
        </is>
      </c>
      <c r="C13" s="9" t="inlineStr">
        <is>
          <t>Phase-in to ~mid-May 2027; penalties up to Rs 250 crore</t>
        </is>
      </c>
      <c r="D13" s="9" t="inlineStr">
        <is>
          <t>Continuous</t>
        </is>
      </c>
      <c r="E13" s="9" t="inlineStr">
        <is>
          <t>SRC-023</t>
        </is>
      </c>
      <c r="F13" s="9" t="n">
        <v>3</v>
      </c>
      <c r="G13" s="9" t="inlineStr">
        <is>
          <t>Not started</t>
        </is>
      </c>
      <c r="H13" s="34" t="n"/>
    </row>
    <row r="14">
      <c r="A14" s="11" t="inlineStr">
        <is>
          <t>Data breach notification readiness</t>
        </is>
      </c>
      <c r="B14" s="11" t="inlineStr">
        <is>
          <t>Any personal-data breach</t>
        </is>
      </c>
      <c r="C14" s="11" t="inlineStr">
        <is>
          <t>Notification to Board and affected persons</t>
        </is>
      </c>
      <c r="D14" s="11" t="inlineStr">
        <is>
          <t>On incident</t>
        </is>
      </c>
      <c r="E14" s="11" t="inlineStr">
        <is>
          <t>SRC-023</t>
        </is>
      </c>
      <c r="F14" s="11" t="n">
        <v>2</v>
      </c>
      <c r="G14" s="11" t="inlineStr">
        <is>
          <t>Not started</t>
        </is>
      </c>
      <c r="H14" s="37" t="n"/>
    </row>
    <row r="15">
      <c r="A15" s="9" t="inlineStr">
        <is>
          <t>Income-tax return &amp; advance tax</t>
        </is>
      </c>
      <c r="B15" s="9" t="inlineStr">
        <is>
          <t>Entity-level obligation</t>
        </is>
      </c>
      <c r="C15" s="9" t="inlineStr">
        <is>
          <t>Slab (proprietorship) / 31.2% (LLP) / 25.17% (Pvt Ltd u/s 115BAA)</t>
        </is>
      </c>
      <c r="D15" s="9" t="inlineStr">
        <is>
          <t>Quarterly + annual</t>
        </is>
      </c>
      <c r="E15" s="9" t="inlineStr">
        <is>
          <t>SRC-031</t>
        </is>
      </c>
      <c r="F15" s="9" t="n">
        <v>2</v>
      </c>
      <c r="G15" s="9" t="inlineStr">
        <is>
          <t>Not started</t>
        </is>
      </c>
      <c r="H15" s="34" t="n"/>
    </row>
    <row r="16">
      <c r="A16" s="11" t="inlineStr">
        <is>
          <t>Written brokerage terms per engagement</t>
        </is>
      </c>
      <c r="B16" s="11" t="inlineStr">
        <is>
          <t>Before first closure</t>
        </is>
      </c>
      <c r="C16" s="11" t="inlineStr">
        <is>
          <t>Unrecoverable commission risk without written terms</t>
        </is>
      </c>
      <c r="D16" s="11" t="inlineStr">
        <is>
          <t>Per client</t>
        </is>
      </c>
      <c r="E16" s="11" t="inlineStr">
        <is>
          <t>SRC-001</t>
        </is>
      </c>
      <c r="F16" s="11" t="n">
        <v>2</v>
      </c>
      <c r="G16" s="11" t="inlineStr">
        <is>
          <t>Not started</t>
        </is>
      </c>
      <c r="H16" s="37" t="n"/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9" customWidth="1" min="3" max="3"/>
    <col width="10" customWidth="1" min="4" max="4"/>
    <col width="46" customWidth="1" min="5" max="5"/>
    <col width="56" customWidth="1" min="6" max="6"/>
    <col width="16" customWidth="1" min="7" max="7"/>
  </cols>
  <sheetData>
    <row r="1" ht="22" customHeight="1">
      <c r="A1" s="6" t="inlineStr">
        <is>
          <t>Risk register</t>
        </is>
      </c>
    </row>
    <row r="2" ht="30" customHeight="1">
      <c r="A2" s="7" t="inlineStr">
        <is>
          <t>Re-score at every decision gate. Risks 1 and 6 fall away once compliance is complete; risks 4 and 8 rise sharply the moment real money is in play.</t>
        </is>
      </c>
    </row>
    <row r="4" ht="26" customHeight="1">
      <c r="A4" s="8" t="inlineStr">
        <is>
          <t>Risk</t>
        </is>
      </c>
      <c r="B4" s="8" t="inlineStr">
        <is>
          <t>Likelihood</t>
        </is>
      </c>
      <c r="C4" s="8" t="inlineStr">
        <is>
          <t>Impact</t>
        </is>
      </c>
      <c r="D4" s="8" t="inlineStr">
        <is>
          <t>Severity</t>
        </is>
      </c>
      <c r="E4" s="8" t="inlineStr">
        <is>
          <t>Early warning</t>
        </is>
      </c>
      <c r="F4" s="8" t="inlineStr">
        <is>
          <t>Control</t>
        </is>
      </c>
      <c r="G4" s="8" t="inlineStr">
        <is>
          <t>Owner phase</t>
        </is>
      </c>
    </row>
    <row r="5">
      <c r="A5" s="9" t="inlineStr">
        <is>
          <t>Marketing before certification</t>
        </is>
      </c>
      <c r="B5" s="9" t="n">
        <v>3</v>
      </c>
      <c r="C5" s="9" t="n">
        <v>5</v>
      </c>
      <c r="D5" s="9" t="n">
        <v>15</v>
      </c>
      <c r="E5" s="9" t="inlineStr">
        <is>
          <t>Any ad, brief or listing published pre-certificate</t>
        </is>
      </c>
      <c r="F5" s="9" t="inlineStr">
        <is>
          <t>Hard compliance gate at week 6; no campaign asset leaves the folder before the MahaRERA number and QR code exist</t>
        </is>
      </c>
      <c r="G5" s="9" t="inlineStr">
        <is>
          <t>Month 1–2</t>
        </is>
      </c>
    </row>
    <row r="6">
      <c r="A6" s="11" t="inlineStr">
        <is>
          <t>Price-basis contamination</t>
        </is>
      </c>
      <c r="B6" s="11" t="n">
        <v>4</v>
      </c>
      <c r="C6" s="11" t="n">
        <v>4</v>
      </c>
      <c r="D6" s="11" t="n">
        <v>16</v>
      </c>
      <c r="E6" s="11" t="inlineStr">
        <is>
          <t>A single number compared against another without a declared basis</t>
        </is>
      </c>
      <c r="F6" s="11" t="inlineStr">
        <is>
          <t>area_basis and price_type mandatory NOT NULL; comparisons blocked across bases in the workbook</t>
        </is>
      </c>
      <c r="G6" s="11" t="inlineStr">
        <is>
          <t>Month 1</t>
        </is>
      </c>
    </row>
    <row r="7">
      <c r="A7" s="9" t="inlineStr">
        <is>
          <t>Founder overload crowds out selling</t>
        </is>
      </c>
      <c r="B7" s="9" t="n">
        <v>5</v>
      </c>
      <c r="C7" s="9" t="n">
        <v>4</v>
      </c>
      <c r="D7" s="9" t="n">
        <v>20</v>
      </c>
      <c r="E7" s="9" t="inlineStr">
        <is>
          <t>Zero qualified leads by end of month 3</t>
        </is>
      </c>
      <c r="F7" s="9" t="inlineStr">
        <is>
          <t>Hard cap of 20 h/week research after month 4; the workload model is a budget, not a description</t>
        </is>
      </c>
      <c r="G7" s="9" t="inlineStr">
        <is>
          <t>Month 3–6</t>
        </is>
      </c>
    </row>
    <row r="8">
      <c r="A8" s="11" t="inlineStr">
        <is>
          <t>Revenue arrives later than runway</t>
        </is>
      </c>
      <c r="B8" s="11" t="n">
        <v>4</v>
      </c>
      <c r="C8" s="11" t="n">
        <v>5</v>
      </c>
      <c r="D8" s="11" t="n">
        <v>20</v>
      </c>
      <c r="E8" s="11" t="inlineStr">
        <is>
          <t>Month 6 with no closure and no offer on the table</t>
        </is>
      </c>
      <c r="F8" s="11" t="inlineStr">
        <is>
          <t>12-month runway funded before start; rental desk switched on by month 6 to cover fixed costs</t>
        </is>
      </c>
      <c r="G8" s="11" t="inlineStr">
        <is>
          <t>Month 4–8</t>
        </is>
      </c>
    </row>
    <row r="9">
      <c r="A9" s="9" t="inlineStr">
        <is>
          <t>Portal dependence and ToU breach</t>
        </is>
      </c>
      <c r="B9" s="9" t="n">
        <v>3</v>
      </c>
      <c r="C9" s="9" t="n">
        <v>3</v>
      </c>
      <c r="D9" s="9" t="n">
        <v>9</v>
      </c>
      <c r="E9" s="9" t="inlineStr">
        <is>
          <t>Listings vanish, duplicates rise, or a scraping notice arrives</t>
        </is>
      </c>
      <c r="F9" s="9" t="inlineStr">
        <is>
          <t>Manual/permitted collection only; own field observations and closed deals become the primary asset</t>
        </is>
      </c>
      <c r="G9" s="9" t="inlineStr">
        <is>
          <t>Continuous</t>
        </is>
      </c>
    </row>
    <row r="10">
      <c r="A10" s="11" t="inlineStr">
        <is>
          <t>DPDP non-compliance on lead data</t>
        </is>
      </c>
      <c r="B10" s="11" t="n">
        <v>3</v>
      </c>
      <c r="C10" s="11" t="n">
        <v>4</v>
      </c>
      <c r="D10" s="11" t="n">
        <v>12</v>
      </c>
      <c r="E10" s="11" t="inlineStr">
        <is>
          <t>KYC or contact data held without notice, consent or retention limit</t>
        </is>
      </c>
      <c r="F10" s="11" t="inlineStr">
        <is>
          <t>Notice + consent at first capture; minimum-necessary collection; documented retention and deletion</t>
        </is>
      </c>
      <c r="G10" s="11" t="inlineStr">
        <is>
          <t>Month 1–2</t>
        </is>
      </c>
    </row>
    <row r="11">
      <c r="A11" s="9" t="inlineStr">
        <is>
          <t>Infrastructure narrative slips</t>
        </is>
      </c>
      <c r="B11" s="9" t="n">
        <v>4</v>
      </c>
      <c r="C11" s="9" t="n">
        <v>3</v>
      </c>
      <c r="D11" s="9" t="n">
        <v>12</v>
      </c>
      <c r="E11" s="9" t="inlineStr">
        <is>
          <t>A target date moves twice</t>
        </is>
      </c>
      <c r="F11" s="9" t="inlineStr">
        <is>
          <t>Status ladder with slippage_months; only operational assets carry full weight in scoring</t>
        </is>
      </c>
      <c r="G11" s="9" t="inlineStr">
        <is>
          <t>Continuous</t>
        </is>
      </c>
    </row>
    <row r="12">
      <c r="A12" s="11" t="inlineStr">
        <is>
          <t>Commission dispute or non-payment</t>
        </is>
      </c>
      <c r="B12" s="11" t="n">
        <v>3</v>
      </c>
      <c r="C12" s="11" t="n">
        <v>4</v>
      </c>
      <c r="D12" s="11" t="n">
        <v>12</v>
      </c>
      <c r="E12" s="11" t="inlineStr">
        <is>
          <t>Client or developer disputes entitlement after closure</t>
        </is>
      </c>
      <c r="F12" s="11" t="inlineStr">
        <is>
          <t>Written terms before every engagement; documented introduction trail; payout-days tracked per counterparty</t>
        </is>
      </c>
      <c r="G12" s="11" t="inlineStr">
        <is>
          <t>Per deal</t>
        </is>
      </c>
    </row>
    <row r="13">
      <c r="A13" s="9" t="inlineStr">
        <is>
          <t>Developer payout concentration</t>
        </is>
      </c>
      <c r="B13" s="9" t="n">
        <v>3</v>
      </c>
      <c r="C13" s="9" t="n">
        <v>3</v>
      </c>
      <c r="D13" s="9" t="n">
        <v>9</v>
      </c>
      <c r="E13" s="9" t="inlineStr">
        <is>
          <t>One developer above 40% of pipeline commission</t>
        </is>
      </c>
      <c r="F13" s="9" t="inlineStr">
        <is>
          <t>Concentration tracked monthly; co-broking and resale kept live alongside primary</t>
        </is>
      </c>
      <c r="G13" s="9" t="inlineStr">
        <is>
          <t>Month 6+</t>
        </is>
      </c>
    </row>
    <row r="14">
      <c r="A14" s="11" t="inlineStr">
        <is>
          <t>Legal/title misstatement to a client</t>
        </is>
      </c>
      <c r="B14" s="11" t="n">
        <v>2</v>
      </c>
      <c r="C14" s="11" t="n">
        <v>5</v>
      </c>
      <c r="D14" s="11" t="n">
        <v>10</v>
      </c>
      <c r="E14" s="11" t="inlineStr">
        <is>
          <t>Advice given beyond the verified record</t>
        </is>
      </c>
      <c r="F14" s="11" t="inlineStr">
        <is>
          <t>Title opinions only from qualified counsel; unknowns flagged as unknown in writing</t>
        </is>
      </c>
      <c r="G14" s="11" t="inlineStr">
        <is>
          <t>Per deal</t>
        </is>
      </c>
    </row>
    <row r="15">
      <c r="A15" s="9" t="inlineStr">
        <is>
          <t>Lead-quality illusion</t>
        </is>
      </c>
      <c r="B15" s="9" t="n">
        <v>4</v>
      </c>
      <c r="C15" s="9" t="n">
        <v>3</v>
      </c>
      <c r="D15" s="9" t="n">
        <v>12</v>
      </c>
      <c r="E15" s="9" t="inlineStr">
        <is>
          <t>High enquiry count, few site visits</t>
        </is>
      </c>
      <c r="F15" s="9" t="inlineStr">
        <is>
          <t>Qualified lead is the KPI, defined by budget + timeline + decision authority + area fit</t>
        </is>
      </c>
      <c r="G15" s="9" t="inlineStr">
        <is>
          <t>Month 3+</t>
        </is>
      </c>
    </row>
    <row r="16">
      <c r="A16" s="11" t="inlineStr">
        <is>
          <t>Data staleness erodes credibility</t>
        </is>
      </c>
      <c r="B16" s="11" t="n">
        <v>3</v>
      </c>
      <c r="C16" s="11" t="n">
        <v>3</v>
      </c>
      <c r="D16" s="11" t="n">
        <v>9</v>
      </c>
      <c r="E16" s="11" t="inlineStr">
        <is>
          <t>A client finds a number that moved and you did not know</t>
        </is>
      </c>
      <c r="F16" s="11" t="inlineStr">
        <is>
          <t>stale_after_days per domain; freshness shown on every client-facing screen</t>
        </is>
      </c>
      <c r="G16" s="11" t="inlineStr">
        <is>
          <t>Continuous</t>
        </is>
      </c>
    </row>
    <row r="17">
      <c r="A17" s="9" t="inlineStr">
        <is>
          <t>Expansion before the model repeats</t>
        </is>
      </c>
      <c r="B17" s="9" t="n">
        <v>3</v>
      </c>
      <c r="C17" s="9" t="n">
        <v>4</v>
      </c>
      <c r="D17" s="9" t="n">
        <v>12</v>
      </c>
      <c r="E17" s="9" t="inlineStr">
        <is>
          <t>Corridor 2 opened while corridor 1 still needs the founder in every deal</t>
        </is>
      </c>
      <c r="F17" s="9" t="inlineStr">
        <is>
          <t>Expansion gate: corridor 1 must produce closures without founder presence in every step</t>
        </is>
      </c>
      <c r="G17" s="9" t="inlineStr">
        <is>
          <t>Month 8+</t>
        </is>
      </c>
    </row>
    <row r="18">
      <c r="A18" s="11" t="inlineStr">
        <is>
          <t>Key-person illness or interruption</t>
        </is>
      </c>
      <c r="B18" s="11" t="n">
        <v>2</v>
      </c>
      <c r="C18" s="11" t="n">
        <v>4</v>
      </c>
      <c r="D18" s="11" t="n">
        <v>8</v>
      </c>
      <c r="E18" s="11" t="inlineStr">
        <is>
          <t>Single point of failure across all six workstreams</t>
        </is>
      </c>
      <c r="F18" s="11" t="inlineStr">
        <is>
          <t>Written playbooks from day one; every process documented so it can be handed over</t>
        </is>
      </c>
      <c r="G18" s="11" t="inlineStr">
        <is>
          <t>Continuous</t>
        </is>
      </c>
    </row>
  </sheetData>
  <mergeCells count="1"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4" customWidth="1" min="5" max="5"/>
    <col width="11" customWidth="1" min="6" max="6"/>
    <col width="11" customWidth="1" min="7" max="7"/>
    <col width="8" customWidth="1" min="8" max="8"/>
    <col width="50" customWidth="1" min="9" max="9"/>
  </cols>
  <sheetData>
    <row r="1" ht="22" customHeight="1">
      <c r="A1" s="6" t="inlineStr">
        <is>
          <t>MMR micro-market reference</t>
        </is>
      </c>
    </row>
    <row r="2" ht="30" customHeight="1">
      <c r="A2" s="7" t="inlineStr">
        <is>
          <t>CONFIDENCE: LOW. Portal asking aggregates with undeclared area basis. For corridor triage only — never for client advice. Re-derive from IGR registered instruments before any number here reaches a client.</t>
        </is>
      </c>
    </row>
    <row r="4" ht="26" customHeight="1">
      <c r="A4" s="8" t="inlineStr">
        <is>
          <t>Micro-market</t>
        </is>
      </c>
      <c r="B4" s="8" t="inlineStr">
        <is>
          <t>Corridor</t>
        </is>
      </c>
      <c r="C4" s="8" t="inlineStr">
        <is>
          <t>Ask low ₹/sqft</t>
        </is>
      </c>
      <c r="D4" s="8" t="inlineStr">
        <is>
          <t>Ask high ₹/sqft</t>
        </is>
      </c>
      <c r="E4" s="8" t="inlineStr">
        <is>
          <t>2BHK rent ₹</t>
        </is>
      </c>
      <c r="F4" s="8" t="inlineStr">
        <is>
          <t>Yield low %</t>
        </is>
      </c>
      <c r="G4" s="8" t="inlineStr">
        <is>
          <t>Yield high %</t>
        </is>
      </c>
      <c r="H4" s="8" t="inlineStr">
        <is>
          <t>Infra</t>
        </is>
      </c>
      <c r="I4" s="8" t="inlineStr">
        <is>
          <t>Note</t>
        </is>
      </c>
    </row>
    <row r="5">
      <c r="A5" s="9" t="inlineStr">
        <is>
          <t>Powai</t>
        </is>
      </c>
      <c r="B5" s="9" t="inlineStr">
        <is>
          <t>Eastern/Central</t>
        </is>
      </c>
      <c r="C5" s="33" t="n">
        <v>28000</v>
      </c>
      <c r="D5" s="33" t="n">
        <v>42000</v>
      </c>
      <c r="E5" s="33" t="n">
        <v>78000</v>
      </c>
      <c r="F5" s="40" t="n">
        <v>2.6</v>
      </c>
      <c r="G5" s="40" t="n">
        <v>3.4</v>
      </c>
      <c r="H5" s="9" t="n">
        <v>9</v>
      </c>
      <c r="I5" s="9" t="inlineStr">
        <is>
          <t>IT/GCC catchment; Metro 6 alignment</t>
        </is>
      </c>
    </row>
    <row r="6">
      <c r="A6" s="11" t="inlineStr">
        <is>
          <t>Kanjurmarg</t>
        </is>
      </c>
      <c r="B6" s="11" t="inlineStr">
        <is>
          <t>Eastern/Central</t>
        </is>
      </c>
      <c r="C6" s="36" t="n">
        <v>24000</v>
      </c>
      <c r="D6" s="36" t="n">
        <v>31000</v>
      </c>
      <c r="E6" s="36" t="n">
        <v>58000</v>
      </c>
      <c r="F6" s="42" t="n">
        <v>2.8</v>
      </c>
      <c r="G6" s="42" t="n">
        <v>3.6</v>
      </c>
      <c r="H6" s="11" t="n">
        <v>9</v>
      </c>
      <c r="I6" s="11" t="inlineStr">
        <is>
          <t>Metro 6 + JVLR; large redevelopment pipeline</t>
        </is>
      </c>
    </row>
    <row r="7">
      <c r="A7" s="9" t="inlineStr">
        <is>
          <t>Vikhroli</t>
        </is>
      </c>
      <c r="B7" s="9" t="inlineStr">
        <is>
          <t>Eastern/Central</t>
        </is>
      </c>
      <c r="C7" s="33" t="n">
        <v>22000</v>
      </c>
      <c r="D7" s="33" t="n">
        <v>30000</v>
      </c>
      <c r="E7" s="33" t="n">
        <v>60000</v>
      </c>
      <c r="F7" s="40" t="n">
        <v>2.8</v>
      </c>
      <c r="G7" s="40" t="n">
        <v>3.6</v>
      </c>
      <c r="H7" s="9" t="n">
        <v>8</v>
      </c>
      <c r="I7" s="9" t="inlineStr">
        <is>
          <t>Godrej land bank; Eastern Express Highway</t>
        </is>
      </c>
    </row>
    <row r="8">
      <c r="A8" s="11" t="inlineStr">
        <is>
          <t>Bhandup</t>
        </is>
      </c>
      <c r="B8" s="11" t="inlineStr">
        <is>
          <t>Eastern/Central</t>
        </is>
      </c>
      <c r="C8" s="36" t="n">
        <v>18000</v>
      </c>
      <c r="D8" s="36" t="n">
        <v>24000</v>
      </c>
      <c r="E8" s="36" t="n">
        <v>42000</v>
      </c>
      <c r="F8" s="42" t="n">
        <v>3</v>
      </c>
      <c r="G8" s="42" t="n">
        <v>3.8</v>
      </c>
      <c r="H8" s="11" t="n">
        <v>7</v>
      </c>
      <c r="I8" s="11" t="inlineStr">
        <is>
          <t>Value corridor; Metro 6 terminus vicinity</t>
        </is>
      </c>
    </row>
    <row r="9">
      <c r="A9" s="9" t="inlineStr">
        <is>
          <t>Mulund</t>
        </is>
      </c>
      <c r="B9" s="9" t="inlineStr">
        <is>
          <t>Eastern/Central</t>
        </is>
      </c>
      <c r="C9" s="33" t="n">
        <v>19000</v>
      </c>
      <c r="D9" s="33" t="n">
        <v>26000</v>
      </c>
      <c r="E9" s="33" t="n">
        <v>48000</v>
      </c>
      <c r="F9" s="40" t="n">
        <v>2.9</v>
      </c>
      <c r="G9" s="40" t="n">
        <v>3.7</v>
      </c>
      <c r="H9" s="9" t="n">
        <v>8</v>
      </c>
      <c r="I9" s="9" t="inlineStr">
        <is>
          <t>Thane–Borivali tunnel catchment</t>
        </is>
      </c>
    </row>
    <row r="10">
      <c r="A10" s="11" t="inlineStr">
        <is>
          <t>Ghatkopar</t>
        </is>
      </c>
      <c r="B10" s="11" t="inlineStr">
        <is>
          <t>Eastern/Central</t>
        </is>
      </c>
      <c r="C10" s="36" t="n">
        <v>20000</v>
      </c>
      <c r="D10" s="36" t="n">
        <v>28000</v>
      </c>
      <c r="E10" s="36" t="n">
        <v>52000</v>
      </c>
      <c r="F10" s="42" t="n">
        <v>2.9</v>
      </c>
      <c r="G10" s="42" t="n">
        <v>3.7</v>
      </c>
      <c r="H10" s="11" t="n">
        <v>8</v>
      </c>
      <c r="I10" s="11" t="inlineStr">
        <is>
          <t>Metro 1 + Metro 2B interchange</t>
        </is>
      </c>
    </row>
    <row r="11">
      <c r="A11" s="9" t="inlineStr">
        <is>
          <t>Chembur</t>
        </is>
      </c>
      <c r="B11" s="9" t="inlineStr">
        <is>
          <t>Eastern/Central</t>
        </is>
      </c>
      <c r="C11" s="33" t="n">
        <v>24000</v>
      </c>
      <c r="D11" s="33" t="n">
        <v>36000</v>
      </c>
      <c r="E11" s="33" t="n">
        <v>62000</v>
      </c>
      <c r="F11" s="40" t="n">
        <v>2.5</v>
      </c>
      <c r="G11" s="40" t="n">
        <v>3.3</v>
      </c>
      <c r="H11" s="9" t="n">
        <v>8</v>
      </c>
      <c r="I11" s="9" t="inlineStr">
        <is>
          <t>Monorail, Metro 2B, EEH; conflict in portal ranges</t>
        </is>
      </c>
    </row>
    <row r="12">
      <c r="A12" s="11" t="inlineStr">
        <is>
          <t>Wadala</t>
        </is>
      </c>
      <c r="B12" s="11" t="inlineStr">
        <is>
          <t>Harbour</t>
        </is>
      </c>
      <c r="C12" s="36" t="n">
        <v>26000</v>
      </c>
      <c r="D12" s="36" t="n">
        <v>34000</v>
      </c>
      <c r="E12" s="36" t="n">
        <v>60000</v>
      </c>
      <c r="F12" s="42" t="n">
        <v>2.4</v>
      </c>
      <c r="G12" s="42" t="n">
        <v>3.2</v>
      </c>
      <c r="H12" s="11" t="n">
        <v>8</v>
      </c>
      <c r="I12" s="11" t="inlineStr">
        <is>
          <t>Monorail; Eastern Waterfront redevelopment</t>
        </is>
      </c>
    </row>
    <row r="13">
      <c r="A13" s="9" t="inlineStr">
        <is>
          <t>Thane (Pokhran/Kolshet)</t>
        </is>
      </c>
      <c r="B13" s="9" t="inlineStr">
        <is>
          <t>Thane</t>
        </is>
      </c>
      <c r="C13" s="33" t="n">
        <v>17000</v>
      </c>
      <c r="D13" s="33" t="n">
        <v>24000</v>
      </c>
      <c r="E13" s="33" t="n">
        <v>42000</v>
      </c>
      <c r="F13" s="40" t="n">
        <v>3.2</v>
      </c>
      <c r="G13" s="40" t="n">
        <v>4.2</v>
      </c>
      <c r="H13" s="9" t="n">
        <v>8</v>
      </c>
      <c r="I13" s="9" t="inlineStr">
        <is>
          <t>Metro 4; Thane–Borivali tunnel</t>
        </is>
      </c>
    </row>
    <row r="14">
      <c r="A14" s="11" t="inlineStr">
        <is>
          <t>Thane (Ghodbunder)</t>
        </is>
      </c>
      <c r="B14" s="11" t="inlineStr">
        <is>
          <t>Thane</t>
        </is>
      </c>
      <c r="C14" s="36" t="n">
        <v>12000</v>
      </c>
      <c r="D14" s="36" t="n">
        <v>18000</v>
      </c>
      <c r="E14" s="36" t="n">
        <v>32000</v>
      </c>
      <c r="F14" s="42" t="n">
        <v>3.5</v>
      </c>
      <c r="G14" s="42" t="n">
        <v>4.6</v>
      </c>
      <c r="H14" s="11" t="n">
        <v>7</v>
      </c>
      <c r="I14" s="11" t="inlineStr">
        <is>
          <t>Metro 4A; corridor congestion risk</t>
        </is>
      </c>
    </row>
    <row r="15">
      <c r="A15" s="9" t="inlineStr">
        <is>
          <t>Airoli</t>
        </is>
      </c>
      <c r="B15" s="9" t="inlineStr">
        <is>
          <t>Navi Mumbai</t>
        </is>
      </c>
      <c r="C15" s="33" t="n">
        <v>21000</v>
      </c>
      <c r="D15" s="33" t="n">
        <v>23000</v>
      </c>
      <c r="E15" s="33" t="n">
        <v>40000</v>
      </c>
      <c r="F15" s="40" t="n">
        <v>3.4</v>
      </c>
      <c r="G15" s="40" t="n">
        <v>4.4</v>
      </c>
      <c r="H15" s="9" t="n">
        <v>8</v>
      </c>
      <c r="I15" s="9" t="inlineStr">
        <is>
          <t>Thane–Belapur belt; office catchment</t>
        </is>
      </c>
    </row>
    <row r="16">
      <c r="A16" s="11" t="inlineStr">
        <is>
          <t>Kharghar</t>
        </is>
      </c>
      <c r="B16" s="11" t="inlineStr">
        <is>
          <t>Navi Mumbai</t>
        </is>
      </c>
      <c r="C16" s="36" t="n">
        <v>19000</v>
      </c>
      <c r="D16" s="36" t="n">
        <v>21000</v>
      </c>
      <c r="E16" s="36" t="n">
        <v>34000</v>
      </c>
      <c r="F16" s="42" t="n">
        <v>3.4</v>
      </c>
      <c r="G16" s="42" t="n">
        <v>4.5</v>
      </c>
      <c r="H16" s="11" t="n">
        <v>10</v>
      </c>
      <c r="I16" s="11" t="inlineStr">
        <is>
          <t>NMIA + Metro 8 proposal; strong price momentum</t>
        </is>
      </c>
    </row>
    <row r="17">
      <c r="A17" s="9" t="inlineStr">
        <is>
          <t>Panvel</t>
        </is>
      </c>
      <c r="B17" s="9" t="inlineStr">
        <is>
          <t>Navi Mumbai</t>
        </is>
      </c>
      <c r="C17" s="33" t="n">
        <v>13000</v>
      </c>
      <c r="D17" s="33" t="n">
        <v>17000</v>
      </c>
      <c r="E17" s="33" t="n">
        <v>24000</v>
      </c>
      <c r="F17" s="40" t="n">
        <v>3.6</v>
      </c>
      <c r="G17" s="40" t="n">
        <v>4.8</v>
      </c>
      <c r="H17" s="9" t="n">
        <v>10</v>
      </c>
      <c r="I17" s="9" t="inlineStr">
        <is>
          <t>NMIA proximity; Atal Setu</t>
        </is>
      </c>
    </row>
    <row r="18">
      <c r="A18" s="11" t="inlineStr">
        <is>
          <t>Andheri E (Western)</t>
        </is>
      </c>
      <c r="B18" s="11" t="inlineStr">
        <is>
          <t>Western</t>
        </is>
      </c>
      <c r="C18" s="36" t="n">
        <v>28000</v>
      </c>
      <c r="D18" s="36" t="n">
        <v>40000</v>
      </c>
      <c r="E18" s="36" t="n">
        <v>72000</v>
      </c>
      <c r="F18" s="42" t="n">
        <v>2.5</v>
      </c>
      <c r="G18" s="42" t="n">
        <v>3.2</v>
      </c>
      <c r="H18" s="11" t="n">
        <v>9</v>
      </c>
      <c r="I18" s="11" t="inlineStr">
        <is>
          <t>Metro 1/2A/7; airport catchment</t>
        </is>
      </c>
    </row>
    <row r="19">
      <c r="A19" s="9" t="inlineStr">
        <is>
          <t>Goregaon/Malad</t>
        </is>
      </c>
      <c r="B19" s="9" t="inlineStr">
        <is>
          <t>Western</t>
        </is>
      </c>
      <c r="C19" s="33" t="n">
        <v>24000</v>
      </c>
      <c r="D19" s="33" t="n">
        <v>34000</v>
      </c>
      <c r="E19" s="33" t="n">
        <v>58000</v>
      </c>
      <c r="F19" s="40" t="n">
        <v>2.5</v>
      </c>
      <c r="G19" s="40" t="n">
        <v>3.3</v>
      </c>
      <c r="H19" s="9" t="n">
        <v>8</v>
      </c>
      <c r="I19" s="9" t="inlineStr">
        <is>
          <t>Metro 2A/7; Coastal Road Phase 2</t>
        </is>
      </c>
    </row>
    <row r="20">
      <c r="A20" s="11" t="inlineStr">
        <is>
          <t>Borivali</t>
        </is>
      </c>
      <c r="B20" s="11" t="inlineStr">
        <is>
          <t>Western</t>
        </is>
      </c>
      <c r="C20" s="36" t="n">
        <v>22000</v>
      </c>
      <c r="D20" s="36" t="n">
        <v>30000</v>
      </c>
      <c r="E20" s="36" t="n">
        <v>50000</v>
      </c>
      <c r="F20" s="42" t="n">
        <v>2.6</v>
      </c>
      <c r="G20" s="42" t="n">
        <v>3.4</v>
      </c>
      <c r="H20" s="11" t="n">
        <v>8</v>
      </c>
      <c r="I20" s="11" t="inlineStr">
        <is>
          <t>Metro 7; Thane–Borivali tunnel</t>
        </is>
      </c>
    </row>
    <row r="21">
      <c r="A21" s="9" t="inlineStr">
        <is>
          <t>Lower Parel/Worli</t>
        </is>
      </c>
      <c r="B21" s="9" t="inlineStr">
        <is>
          <t>South-Central</t>
        </is>
      </c>
      <c r="C21" s="33" t="n">
        <v>45000</v>
      </c>
      <c r="D21" s="33" t="n">
        <v>75000</v>
      </c>
      <c r="E21" s="33" t="n">
        <v>150000</v>
      </c>
      <c r="F21" s="40" t="n">
        <v>1.8</v>
      </c>
      <c r="G21" s="40" t="n">
        <v>2.6</v>
      </c>
      <c r="H21" s="9" t="n">
        <v>8</v>
      </c>
      <c r="I21" s="9" t="inlineStr">
        <is>
          <t>Metro 3 fully operational; Coastal Road</t>
        </is>
      </c>
    </row>
    <row r="22">
      <c r="A22" s="11" t="inlineStr">
        <is>
          <t>South Mumbai (core)</t>
        </is>
      </c>
      <c r="B22" s="11" t="inlineStr">
        <is>
          <t>South Mumbai</t>
        </is>
      </c>
      <c r="C22" s="36" t="n">
        <v>55000</v>
      </c>
      <c r="D22" s="36" t="n">
        <v>110000</v>
      </c>
      <c r="E22" s="36" t="n">
        <v>200000</v>
      </c>
      <c r="F22" s="42" t="n">
        <v>1.5</v>
      </c>
      <c r="G22" s="42" t="n">
        <v>2.4</v>
      </c>
      <c r="H22" s="11" t="n">
        <v>7</v>
      </c>
      <c r="I22" s="11" t="inlineStr">
        <is>
          <t>Metro 3 terminus; thin transaction depth</t>
        </is>
      </c>
    </row>
  </sheetData>
  <mergeCells count="1"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54" customWidth="1" min="4" max="4"/>
    <col width="16" customWidth="1" min="5" max="5"/>
    <col width="12" customWidth="1" min="6" max="6"/>
    <col width="11" customWidth="1" min="7" max="7"/>
    <col width="12" customWidth="1" min="8" max="8"/>
  </cols>
  <sheetData>
    <row r="1" ht="22" customHeight="1">
      <c r="A1" s="6" t="inlineStr">
        <is>
          <t>Infrastructure register</t>
        </is>
      </c>
    </row>
    <row r="2" ht="30" customHeight="1">
      <c r="A2" s="7" t="inlineStr">
        <is>
          <t>Weight by what is running, not by what is announced. An asset whose target date has moved twice is downgraded a rung regardless of how prominent it is in developer marketing.</t>
        </is>
      </c>
    </row>
    <row r="4" ht="26" customHeight="1">
      <c r="A4" s="8" t="inlineStr">
        <is>
          <t>Asset</t>
        </is>
      </c>
      <c r="B4" s="8" t="inlineStr">
        <is>
          <t>Catchment</t>
        </is>
      </c>
      <c r="C4" s="8" t="inlineStr">
        <is>
          <t>Status</t>
        </is>
      </c>
      <c r="D4" s="8" t="inlineStr">
        <is>
          <t>Milestone</t>
        </is>
      </c>
      <c r="E4" s="8" t="inlineStr">
        <is>
          <t>Target</t>
        </is>
      </c>
      <c r="F4" s="8" t="inlineStr">
        <is>
          <t>Confidence</t>
        </is>
      </c>
      <c r="G4" s="8" t="inlineStr">
        <is>
          <t>Source</t>
        </is>
      </c>
      <c r="H4" s="8" t="inlineStr">
        <is>
          <t>Weight</t>
        </is>
      </c>
    </row>
    <row r="5">
      <c r="A5" s="9" t="inlineStr">
        <is>
          <t>Metro Line 3 (Aqua)</t>
        </is>
      </c>
      <c r="B5" s="9" t="inlineStr">
        <is>
          <t>South/Central/Western</t>
        </is>
      </c>
      <c r="C5" s="9" t="inlineStr">
        <is>
          <t>operational</t>
        </is>
      </c>
      <c r="D5" s="9" t="inlineStr">
        <is>
          <t>33.5 km fully commissioned 8 Oct 2025</t>
        </is>
      </c>
      <c r="E5" s="9" t="inlineStr">
        <is>
          <t>Done</t>
        </is>
      </c>
      <c r="F5" s="9" t="inlineStr">
        <is>
          <t>high</t>
        </is>
      </c>
      <c r="G5" s="9" t="inlineStr">
        <is>
          <t>SRC-007</t>
        </is>
      </c>
      <c r="H5" s="45" t="n">
        <v>1</v>
      </c>
    </row>
    <row r="6">
      <c r="A6" s="11" t="inlineStr">
        <is>
          <t>Navi Mumbai Int'l Airport</t>
        </is>
      </c>
      <c r="B6" s="11" t="inlineStr">
        <is>
          <t>Navi Mumbai</t>
        </is>
      </c>
      <c r="C6" s="11" t="inlineStr">
        <is>
          <t>operational</t>
        </is>
      </c>
      <c r="D6" s="11" t="inlineStr">
        <is>
          <t>Domestic 25 Dec 2025; 24x7 Feb 2026; international live 2026</t>
        </is>
      </c>
      <c r="E6" s="11" t="inlineStr">
        <is>
          <t>Ramping</t>
        </is>
      </c>
      <c r="F6" s="11" t="inlineStr">
        <is>
          <t>high</t>
        </is>
      </c>
      <c r="G6" s="11" t="inlineStr">
        <is>
          <t>SRC-010</t>
        </is>
      </c>
      <c r="H6" s="46" t="n">
        <v>1</v>
      </c>
    </row>
    <row r="7">
      <c r="A7" s="9" t="inlineStr">
        <is>
          <t>Atal Setu (MTHL)</t>
        </is>
      </c>
      <c r="B7" s="9" t="inlineStr">
        <is>
          <t>Navi Mumbai/Harbour</t>
        </is>
      </c>
      <c r="C7" s="9" t="inlineStr">
        <is>
          <t>operational</t>
        </is>
      </c>
      <c r="D7" s="9" t="inlineStr">
        <is>
          <t>Operational; re-pricing Navi Mumbai and Raigad</t>
        </is>
      </c>
      <c r="E7" s="9" t="inlineStr">
        <is>
          <t>Done</t>
        </is>
      </c>
      <c r="F7" s="9" t="inlineStr">
        <is>
          <t>high</t>
        </is>
      </c>
      <c r="G7" s="9" t="inlineStr">
        <is>
          <t>SRC-029</t>
        </is>
      </c>
      <c r="H7" s="45" t="n">
        <v>1</v>
      </c>
    </row>
    <row r="8">
      <c r="A8" s="11" t="inlineStr">
        <is>
          <t>Metro Line 4 / 4A</t>
        </is>
      </c>
      <c r="B8" s="11" t="inlineStr">
        <is>
          <t>Thane/Eastern</t>
        </is>
      </c>
      <c r="C8" s="11" t="inlineStr">
        <is>
          <t>commissioning</t>
        </is>
      </c>
      <c r="D8" s="11" t="inlineStr">
        <is>
          <t>Thane Cadbury Jn–Gaimukh 10.5 km phased opening</t>
        </is>
      </c>
      <c r="E8" s="11" t="inlineStr">
        <is>
          <t>2026</t>
        </is>
      </c>
      <c r="F8" s="11" t="inlineStr">
        <is>
          <t>medium</t>
        </is>
      </c>
      <c r="G8" s="11" t="inlineStr">
        <is>
          <t>SRC-029</t>
        </is>
      </c>
      <c r="H8" s="46" t="n">
        <v>0.75</v>
      </c>
    </row>
    <row r="9">
      <c r="A9" s="9" t="inlineStr">
        <is>
          <t>Metro Line 2B</t>
        </is>
      </c>
      <c r="B9" s="9" t="inlineStr">
        <is>
          <t>Western/Eastern link</t>
        </is>
      </c>
      <c r="C9" s="9" t="inlineStr">
        <is>
          <t>commissioning</t>
        </is>
      </c>
      <c r="D9" s="9" t="inlineStr">
        <is>
          <t>DN Nagar–Saraswat Nagar western section</t>
        </is>
      </c>
      <c r="E9" s="9" t="inlineStr">
        <is>
          <t>Mid-2026</t>
        </is>
      </c>
      <c r="F9" s="9" t="inlineStr">
        <is>
          <t>medium</t>
        </is>
      </c>
      <c r="G9" s="9" t="inlineStr">
        <is>
          <t>SRC-009</t>
        </is>
      </c>
      <c r="H9" s="45" t="n">
        <v>0.75</v>
      </c>
    </row>
    <row r="10">
      <c r="A10" s="11" t="inlineStr">
        <is>
          <t>Metro Line 6 (Pink)</t>
        </is>
      </c>
      <c r="B10" s="11" t="inlineStr">
        <is>
          <t>Eastern/Central (JVLR)</t>
        </is>
      </c>
      <c r="C10" s="11" t="inlineStr">
        <is>
          <t>under_construction</t>
        </is>
      </c>
      <c r="D10" s="11" t="inlineStr">
        <is>
          <t>15.31 km; station works 79.63% at 30 Dec 2025</t>
        </is>
      </c>
      <c r="E10" s="11" t="inlineStr">
        <is>
          <t>Mid-2026</t>
        </is>
      </c>
      <c r="F10" s="11" t="inlineStr">
        <is>
          <t>high</t>
        </is>
      </c>
      <c r="G10" s="11" t="inlineStr">
        <is>
          <t>SRC-008</t>
        </is>
      </c>
      <c r="H10" s="46" t="n">
        <v>0.6</v>
      </c>
    </row>
    <row r="11">
      <c r="A11" s="9" t="inlineStr">
        <is>
          <t>Coastal Road Phase 2</t>
        </is>
      </c>
      <c r="B11" s="9" t="inlineStr">
        <is>
          <t>Western</t>
        </is>
      </c>
      <c r="C11" s="9" t="inlineStr">
        <is>
          <t>under_construction</t>
        </is>
      </c>
      <c r="D11" s="9" t="inlineStr">
        <is>
          <t>Bandra–Kandivali ~19 km</t>
        </is>
      </c>
      <c r="E11" s="9" t="inlineStr">
        <is>
          <t>May 2026 target</t>
        </is>
      </c>
      <c r="F11" s="9" t="inlineStr">
        <is>
          <t>medium</t>
        </is>
      </c>
      <c r="G11" s="9" t="inlineStr">
        <is>
          <t>SRC-029</t>
        </is>
      </c>
      <c r="H11" s="45" t="n">
        <v>0.6</v>
      </c>
    </row>
    <row r="12">
      <c r="A12" s="11" t="inlineStr">
        <is>
          <t>Thane–Borivali Twin Tunnel</t>
        </is>
      </c>
      <c r="B12" s="11" t="inlineStr">
        <is>
          <t>Thane/Western</t>
        </is>
      </c>
      <c r="C12" s="11" t="inlineStr">
        <is>
          <t>under_construction</t>
        </is>
      </c>
      <c r="D12" s="11" t="inlineStr">
        <is>
          <t>Major milestone Dec 2025</t>
        </is>
      </c>
      <c r="E12" s="11" t="inlineStr">
        <is>
          <t>2028+</t>
        </is>
      </c>
      <c r="F12" s="11" t="inlineStr">
        <is>
          <t>medium</t>
        </is>
      </c>
      <c r="G12" s="11" t="inlineStr">
        <is>
          <t>SRC-029</t>
        </is>
      </c>
      <c r="H12" s="46" t="n">
        <v>0.45</v>
      </c>
    </row>
    <row r="13">
      <c r="A13" s="9" t="inlineStr">
        <is>
          <t>Metro Line 8 (Gold)</t>
        </is>
      </c>
      <c r="B13" s="9" t="inlineStr">
        <is>
          <t>Navi Mumbai/Airport link</t>
        </is>
      </c>
      <c r="C13" s="9" t="inlineStr">
        <is>
          <t>approved</t>
        </is>
      </c>
      <c r="D13" s="9" t="inlineStr">
        <is>
          <t>CSMIA–NMIA 35 km, PPP approved late 2025</t>
        </is>
      </c>
      <c r="E13" s="9" t="inlineStr">
        <is>
          <t>2030+</t>
        </is>
      </c>
      <c r="F13" s="9" t="inlineStr">
        <is>
          <t>medium</t>
        </is>
      </c>
      <c r="G13" s="9" t="inlineStr">
        <is>
          <t>SRC-029</t>
        </is>
      </c>
      <c r="H13" s="45" t="n">
        <v>0.3</v>
      </c>
    </row>
    <row r="14">
      <c r="A14" s="11" t="inlineStr">
        <is>
          <t>Virar–Alibaug Corridor</t>
        </is>
      </c>
      <c r="B14" s="11" t="inlineStr">
        <is>
          <t>Outer MMR</t>
        </is>
      </c>
      <c r="C14" s="11" t="inlineStr">
        <is>
          <t>approved</t>
        </is>
      </c>
      <c r="D14" s="11" t="inlineStr">
        <is>
          <t>126 km, 14-lane, MSRDC; part MCZMA clearance</t>
        </is>
      </c>
      <c r="E14" s="11" t="inlineStr">
        <is>
          <t>2030+</t>
        </is>
      </c>
      <c r="F14" s="11" t="inlineStr">
        <is>
          <t>medium</t>
        </is>
      </c>
      <c r="G14" s="11" t="inlineStr">
        <is>
          <t>SRC-029</t>
        </is>
      </c>
      <c r="H14" s="46" t="n">
        <v>0.25</v>
      </c>
    </row>
  </sheetData>
  <mergeCells count="1"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78" customWidth="1" min="5" max="5"/>
  </cols>
  <sheetData>
    <row r="1" ht="22" customHeight="1">
      <c r="A1" s="6" t="inlineStr">
        <is>
          <t>Data schema</t>
        </is>
      </c>
    </row>
    <row r="2" ht="30" customHeight="1">
      <c r="A2" s="7" t="inlineStr">
        <is>
          <t>Required fields are NOT NULL constraints, not documentation. A data-quality rule that depends on remembering it at 22:00 on a Friday is not a rule.</t>
        </is>
      </c>
    </row>
    <row r="4" ht="26" customHeight="1">
      <c r="A4" s="8" t="inlineStr">
        <is>
          <t>Domain</t>
        </is>
      </c>
      <c r="B4" s="8" t="inlineStr">
        <is>
          <t>Phase-1 minimum fields</t>
        </is>
      </c>
      <c r="C4" s="8" t="inlineStr">
        <is>
          <t>Refresh</t>
        </is>
      </c>
      <c r="D4" s="8" t="inlineStr">
        <is>
          <t>Stale (d)</t>
        </is>
      </c>
      <c r="E4" s="8" t="inlineStr">
        <is>
          <t>Primary sources</t>
        </is>
      </c>
    </row>
    <row r="5">
      <c r="A5" s="9" t="inlineStr">
        <is>
          <t>Geography</t>
        </is>
      </c>
      <c r="B5" s="9" t="inlineStr">
        <is>
          <t>geo_id, parent_geo_id, level, name, boundary_ref, analysis_role</t>
        </is>
      </c>
      <c r="C5" s="9" t="inlineStr">
        <is>
          <t>On change</t>
        </is>
      </c>
      <c r="D5" s="9" t="n">
        <v>365</v>
      </c>
      <c r="E5" s="9" t="inlineStr">
        <is>
          <t>BMC/MMRDA/verified GIS</t>
        </is>
      </c>
    </row>
    <row r="6">
      <c r="A6" s="11" t="inlineStr">
        <is>
          <t>Pricing</t>
        </is>
      </c>
      <c r="B6" s="11" t="inlineStr">
        <is>
          <t>geo_id, project_id, price_type, area_basis, price_psf, sample_size, observed_date, source_ref</t>
        </is>
      </c>
      <c r="C6" s="11" t="inlineStr">
        <is>
          <t>Asking weekly; registered monthly; RR annual</t>
        </is>
      </c>
      <c r="D6" s="11" t="n">
        <v>30</v>
      </c>
      <c r="E6" s="11" t="inlineStr">
        <is>
          <t>IGR e-Search, portals, RR</t>
        </is>
      </c>
    </row>
    <row r="7">
      <c r="A7" s="9" t="inlineStr">
        <is>
          <t>Rental</t>
        </is>
      </c>
      <c r="B7" s="9" t="inlineStr">
        <is>
          <t>geo_id, configuration, furnishing, asking_rent, closed_rent, deposit, maintenance, restrictions</t>
        </is>
      </c>
      <c r="C7" s="9" t="inlineStr">
        <is>
          <t>Monthly / per live deal</t>
        </is>
      </c>
      <c r="D7" s="9" t="n">
        <v>45</v>
      </c>
      <c r="E7" s="9" t="inlineStr">
        <is>
          <t>Portals, field, own deals</t>
        </is>
      </c>
    </row>
    <row r="8">
      <c r="A8" s="11" t="inlineStr">
        <is>
          <t>Projects</t>
        </is>
      </c>
      <c r="B8" s="11" t="inlineStr">
        <is>
          <t>rera_id, promoter, configuration, inventory, possession_date, status, qpr_ref</t>
        </is>
      </c>
      <c r="C8" s="11" t="inlineStr">
        <is>
          <t>Monthly / on change</t>
        </is>
      </c>
      <c r="D8" s="11" t="n">
        <v>60</v>
      </c>
      <c r="E8" s="11" t="inlineStr">
        <is>
          <t>MahaRERA, developer filings</t>
        </is>
      </c>
    </row>
    <row r="9">
      <c r="A9" s="9" t="inlineStr">
        <is>
          <t>Developers</t>
        </is>
      </c>
      <c r="B9" s="9" t="inlineStr">
        <is>
          <t>promoter_id, delivery_record, avg_delay_months, complaints, litigation_ref, active_projects</t>
        </is>
      </c>
      <c r="C9" s="9" t="inlineStr">
        <is>
          <t>Quarterly</t>
        </is>
      </c>
      <c r="D9" s="9" t="n">
        <v>120</v>
      </c>
      <c r="E9" s="9" t="inlineStr">
        <is>
          <t>MahaRERA orders, filings</t>
        </is>
      </c>
    </row>
    <row r="10">
      <c r="A10" s="11" t="inlineStr">
        <is>
          <t>Supply</t>
        </is>
      </c>
      <c r="B10" s="11" t="inlineStr">
        <is>
          <t>active_listings, new_launch, absorption, qts, listing_age, availability</t>
        </is>
      </c>
      <c r="C10" s="11" t="inlineStr">
        <is>
          <t>Monthly / quarterly</t>
        </is>
      </c>
      <c r="D10" s="11" t="n">
        <v>45</v>
      </c>
      <c r="E10" s="11" t="inlineStr">
        <is>
          <t>Portals, consultancy research</t>
        </is>
      </c>
    </row>
    <row r="11">
      <c r="A11" s="9" t="inlineStr">
        <is>
          <t>Infrastructure</t>
        </is>
      </c>
      <c r="B11" s="9" t="inlineStr">
        <is>
          <t>asset_id, status, target_date, slippage_months, catchment_geo, impact_note</t>
        </is>
      </c>
      <c r="C11" s="9" t="inlineStr">
        <is>
          <t>Quarterly / on change</t>
        </is>
      </c>
      <c r="D11" s="9" t="n">
        <v>90</v>
      </c>
      <c r="E11" s="9" t="inlineStr">
        <is>
          <t>MMRDA, MSRDC, BMC, operator</t>
        </is>
      </c>
    </row>
    <row r="12">
      <c r="A12" s="11" t="inlineStr">
        <is>
          <t>Risk</t>
        </is>
      </c>
      <c r="B12" s="11" t="inlineStr">
        <is>
          <t>geo_id, risk_type, severity, evidence_ref, last_verified</t>
        </is>
      </c>
      <c r="C12" s="11" t="inlineStr">
        <is>
          <t>Change-driven</t>
        </is>
      </c>
      <c r="D12" s="11" t="n">
        <v>180</v>
      </c>
      <c r="E12" s="11" t="inlineStr">
        <is>
          <t>BMC, CRZ, MahaRERA, field</t>
        </is>
      </c>
    </row>
    <row r="13">
      <c r="A13" s="9" t="inlineStr">
        <is>
          <t>Demand</t>
        </is>
      </c>
      <c r="B13" s="9" t="inlineStr">
        <is>
          <t>lead_id, source, persona, budget, timeline, authority, area_fit</t>
        </is>
      </c>
      <c r="C13" s="9" t="inlineStr">
        <is>
          <t>Every interaction</t>
        </is>
      </c>
      <c r="D13" s="9" t="n">
        <v>7</v>
      </c>
      <c r="E13" s="9" t="inlineStr">
        <is>
          <t>Own CRM</t>
        </is>
      </c>
    </row>
    <row r="14">
      <c r="A14" s="11" t="inlineStr">
        <is>
          <t>Deals</t>
        </is>
      </c>
      <c r="B14" s="11" t="inlineStr">
        <is>
          <t>deal_id, stage, units_shown, visits, offers, closed_price, commission, lost_reason</t>
        </is>
      </c>
      <c r="C14" s="11" t="inlineStr">
        <is>
          <t>Every interaction</t>
        </is>
      </c>
      <c r="D14" s="11" t="n">
        <v>7</v>
      </c>
      <c r="E14" s="11" t="inlineStr">
        <is>
          <t>Own CRM</t>
        </is>
      </c>
    </row>
    <row r="15">
      <c r="A15" s="9" t="inlineStr">
        <is>
          <t>Field</t>
        </is>
      </c>
      <c r="B15" s="9" t="inlineStr">
        <is>
          <t>observation_id, geo_id, observation_type, value, method, observed_date, observer</t>
        </is>
      </c>
      <c r="C15" s="9" t="inlineStr">
        <is>
          <t>Continuous</t>
        </is>
      </c>
      <c r="D15" s="9" t="n">
        <v>90</v>
      </c>
      <c r="E15" s="9" t="inlineStr">
        <is>
          <t>Own field programme</t>
        </is>
      </c>
    </row>
    <row r="16">
      <c r="A16" s="11" t="inlineStr">
        <is>
          <t>Compliance</t>
        </is>
      </c>
      <c r="B16" s="11" t="inlineStr">
        <is>
          <t>obligation_id, due_date, status, evidence_ref</t>
        </is>
      </c>
      <c r="C16" s="11" t="inlineStr">
        <is>
          <t>Continuous</t>
        </is>
      </c>
      <c r="D16" s="11" t="n">
        <v>30</v>
      </c>
      <c r="E16" s="11" t="inlineStr">
        <is>
          <t>Own records</t>
        </is>
      </c>
    </row>
  </sheetData>
  <mergeCells count="1">
    <mergeCell ref="A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2" customWidth="1" min="3" max="3"/>
    <col width="66" customWidth="1" min="4" max="4"/>
    <col width="62" customWidth="1" min="5" max="5"/>
    <col width="18" customWidth="1" min="6" max="6"/>
    <col width="12" customWidth="1" min="7" max="7"/>
    <col width="13" customWidth="1" min="8" max="8"/>
  </cols>
  <sheetData>
    <row r="1" ht="22" customHeight="1">
      <c r="A1" s="6" t="inlineStr">
        <is>
          <t>Source registry</t>
        </is>
      </c>
    </row>
    <row r="2" ht="30" customHeight="1">
      <c r="A2" s="7" t="inlineStr">
        <is>
          <t>Thirty-three sources. Every fact in this workbook, the CSV repository and the PDF report resolves to one of these ids. All accessed 14 August 2026.</t>
        </is>
      </c>
    </row>
    <row r="4" ht="26" customHeight="1">
      <c r="A4" s="8" t="inlineStr">
        <is>
          <t>ID</t>
        </is>
      </c>
      <c r="B4" s="8" t="inlineStr">
        <is>
          <t>Category</t>
        </is>
      </c>
      <c r="C4" s="8" t="inlineStr">
        <is>
          <t>Source</t>
        </is>
      </c>
      <c r="D4" s="8" t="inlineStr">
        <is>
          <t>URL</t>
        </is>
      </c>
      <c r="E4" s="8" t="inlineStr">
        <is>
          <t>Key fact or use</t>
        </is>
      </c>
      <c r="F4" s="8" t="inlineStr">
        <is>
          <t>Refresh</t>
        </is>
      </c>
      <c r="G4" s="8" t="inlineStr">
        <is>
          <t>Confidence</t>
        </is>
      </c>
      <c r="H4" s="8" t="inlineStr">
        <is>
          <t>Accessed</t>
        </is>
      </c>
    </row>
    <row r="5">
      <c r="A5" s="9" t="inlineStr">
        <is>
          <t>SRC-001</t>
        </is>
      </c>
      <c r="B5" s="9" t="inlineStr">
        <is>
          <t>Regulation</t>
        </is>
      </c>
      <c r="C5" s="9" t="inlineStr">
        <is>
          <t>MahaRERA — Guidance for Agents</t>
        </is>
      </c>
      <c r="D5" s="9" t="inlineStr">
        <is>
          <t>https://maharera.maharashtra.gov.in/guidance-for-agents</t>
        </is>
      </c>
      <c r="E5" s="9" t="inlineStr">
        <is>
          <t>Prior agent registration required before dealing/advertising/brokerage of registered projects</t>
        </is>
      </c>
      <c r="F5" s="9" t="inlineStr">
        <is>
          <t>On rule change</t>
        </is>
      </c>
      <c r="G5" s="9" t="inlineStr">
        <is>
          <t>High</t>
        </is>
      </c>
      <c r="H5" s="9" t="inlineStr">
        <is>
          <t>2026-08-14</t>
        </is>
      </c>
    </row>
    <row r="6">
      <c r="A6" s="11" t="inlineStr">
        <is>
          <t>SRC-002</t>
        </is>
      </c>
      <c r="B6" s="11" t="inlineStr">
        <is>
          <t>Regulation</t>
        </is>
      </c>
      <c r="C6" s="11" t="inlineStr">
        <is>
          <t>MahaRERA — Agent Training &amp; Certification</t>
        </is>
      </c>
      <c r="D6" s="11" t="inlineStr">
        <is>
          <t>https://maharera.maharashtra.gov.in/agent-training</t>
        </is>
      </c>
      <c r="E6" s="11" t="inlineStr">
        <is>
          <t>20-hour training + Certificate of Competency via NAREDCO / REMI / RAGC empanelled partners</t>
        </is>
      </c>
      <c r="F6" s="11" t="inlineStr">
        <is>
          <t>On rule change</t>
        </is>
      </c>
      <c r="G6" s="11" t="inlineStr">
        <is>
          <t>High</t>
        </is>
      </c>
      <c r="H6" s="11" t="inlineStr">
        <is>
          <t>2026-08-14</t>
        </is>
      </c>
    </row>
    <row r="7">
      <c r="A7" s="9" t="inlineStr">
        <is>
          <t>SRC-003</t>
        </is>
      </c>
      <c r="B7" s="9" t="inlineStr">
        <is>
          <t>Regulation</t>
        </is>
      </c>
      <c r="C7" s="9" t="inlineStr">
        <is>
          <t>MahaRERA — Agent Registration Highlights</t>
        </is>
      </c>
      <c r="D7" s="9" t="inlineStr">
        <is>
          <t>https://maharera.maharashtra.gov.in/highlights-of-maharera-agent-registration-detail</t>
        </is>
      </c>
      <c r="E7" s="9" t="inlineStr">
        <is>
          <t>Five-year registration validity unless revoked; books and records obligation</t>
        </is>
      </c>
      <c r="F7" s="9" t="inlineStr">
        <is>
          <t>On rule change</t>
        </is>
      </c>
      <c r="G7" s="9" t="inlineStr">
        <is>
          <t>High</t>
        </is>
      </c>
      <c r="H7" s="9" t="inlineStr">
        <is>
          <t>2026-08-14</t>
        </is>
      </c>
    </row>
    <row r="8">
      <c r="A8" s="11" t="inlineStr">
        <is>
          <t>SRC-004</t>
        </is>
      </c>
      <c r="B8" s="11" t="inlineStr">
        <is>
          <t>Market</t>
        </is>
      </c>
      <c r="C8" s="11" t="inlineStr">
        <is>
          <t>Knight Frank India Real Estate H1 2026</t>
        </is>
      </c>
      <c r="D8" s="11" t="inlineStr">
        <is>
          <t>https://www.knightfrank.co.in/research</t>
        </is>
      </c>
      <c r="E8" s="11" t="inlineStr">
        <is>
          <t>Mumbai H1 2026 sales 47,355 (+1%); launches 49,161 (+8%); unsold 157,410; QTS 6.5; age 13.5 qtrs; avg price Rs 36,881/sqft</t>
        </is>
      </c>
      <c r="F8" s="11" t="inlineStr">
        <is>
          <t>Half-yearly</t>
        </is>
      </c>
      <c r="G8" s="11" t="inlineStr">
        <is>
          <t>High</t>
        </is>
      </c>
      <c r="H8" s="11" t="inlineStr">
        <is>
          <t>2026-08-14</t>
        </is>
      </c>
    </row>
    <row r="9">
      <c r="A9" s="9" t="inlineStr">
        <is>
          <t>SRC-005</t>
        </is>
      </c>
      <c r="B9" s="9" t="inlineStr">
        <is>
          <t>Transactions</t>
        </is>
      </c>
      <c r="C9" s="9" t="inlineStr">
        <is>
          <t>Knight Frank / IGR coverage — H1 2026 Mumbai registrations</t>
        </is>
      </c>
      <c r="D9" s="9" t="inlineStr">
        <is>
          <t>https://www.business-standard.com/industry/news/mumbai-property-registrations-hit-13-year-high-in-first-half-of-2026-126063000677_1.html</t>
        </is>
      </c>
      <c r="E9" s="9" t="inlineStr">
        <is>
          <t>BMC Mumbai H1 2026 registrations 80,221 (+6% YoY, best since 2013); stamp duty Rs 6,968 crore</t>
        </is>
      </c>
      <c r="F9" s="9" t="inlineStr">
        <is>
          <t>Monthly</t>
        </is>
      </c>
      <c r="G9" s="9" t="inlineStr">
        <is>
          <t>High</t>
        </is>
      </c>
      <c r="H9" s="9" t="inlineStr">
        <is>
          <t>2026-08-14</t>
        </is>
      </c>
    </row>
    <row r="10">
      <c r="A10" s="11" t="inlineStr">
        <is>
          <t>SRC-006</t>
        </is>
      </c>
      <c r="B10" s="11" t="inlineStr">
        <is>
          <t>Transactions</t>
        </is>
      </c>
      <c r="C10" s="11" t="inlineStr">
        <is>
          <t>Knight Frank / IGR coverage — July 2026 Mumbai registrations</t>
        </is>
      </c>
      <c r="D10" s="11" t="inlineStr">
        <is>
          <t>https://www.freepressjournal.in/mumbai/mumbai-logs-highest-july-property-registrations-in-14-years-stamp-duty-revenue-crosses-1200-crore</t>
        </is>
      </c>
      <c r="E10" s="11" t="inlineStr">
        <is>
          <t>July 2026: 13,617 registrations (+8.3% YoY); stamp duty Rs 1,223 cr (+8.9% YoY); highest July in 14 years</t>
        </is>
      </c>
      <c r="F10" s="11" t="inlineStr">
        <is>
          <t>Monthly</t>
        </is>
      </c>
      <c r="G10" s="11" t="inlineStr">
        <is>
          <t>High</t>
        </is>
      </c>
      <c r="H10" s="11" t="inlineStr">
        <is>
          <t>2026-08-14</t>
        </is>
      </c>
    </row>
    <row r="11">
      <c r="A11" s="9" t="inlineStr">
        <is>
          <t>SRC-007</t>
        </is>
      </c>
      <c r="B11" s="9" t="inlineStr">
        <is>
          <t>Infrastructure</t>
        </is>
      </c>
      <c r="C11" s="9" t="inlineStr">
        <is>
          <t>Mumbai Metro Line 3 (Aqua) — full commissioning</t>
        </is>
      </c>
      <c r="D11" s="9" t="inlineStr">
        <is>
          <t>https://en.wikipedia.org/wiki/Aqua_Line_(Mumbai_Metro)</t>
        </is>
      </c>
      <c r="E11" s="9" t="inlineStr">
        <is>
          <t>33.5 km fully operational; final Acharya Atre Chowk–Cuffe Parade stretch opened 8 Oct 2025</t>
        </is>
      </c>
      <c r="F11" s="9" t="inlineStr">
        <is>
          <t>On change</t>
        </is>
      </c>
      <c r="G11" s="9" t="inlineStr">
        <is>
          <t>High</t>
        </is>
      </c>
      <c r="H11" s="9" t="inlineStr">
        <is>
          <t>2026-08-14</t>
        </is>
      </c>
    </row>
    <row r="12">
      <c r="A12" s="11" t="inlineStr">
        <is>
          <t>SRC-008</t>
        </is>
      </c>
      <c r="B12" s="11" t="inlineStr">
        <is>
          <t>Infrastructure</t>
        </is>
      </c>
      <c r="C12" s="11" t="inlineStr">
        <is>
          <t>MMRDA — Metro Line 6 (Pink) project page</t>
        </is>
      </c>
      <c r="D12" s="11" t="inlineStr">
        <is>
          <t>https://mmrda.maharashtra.gov.in/en/projects/transport/metro-line-6/overview</t>
        </is>
      </c>
      <c r="E12" s="11" t="inlineStr">
        <is>
          <t>15.31 km; station works 79.63% complete as at 30 Dec 2025; target mid-2026</t>
        </is>
      </c>
      <c r="F12" s="11" t="inlineStr">
        <is>
          <t>Monthly/Quarterly</t>
        </is>
      </c>
      <c r="G12" s="11" t="inlineStr">
        <is>
          <t>High</t>
        </is>
      </c>
      <c r="H12" s="11" t="inlineStr">
        <is>
          <t>2026-08-14</t>
        </is>
      </c>
    </row>
    <row r="13">
      <c r="A13" s="9" t="inlineStr">
        <is>
          <t>SRC-009</t>
        </is>
      </c>
      <c r="B13" s="9" t="inlineStr">
        <is>
          <t>Infrastructure</t>
        </is>
      </c>
      <c r="C13" s="9" t="inlineStr">
        <is>
          <t>MMRDA — Metro Line 2B project page</t>
        </is>
      </c>
      <c r="D13" s="9" t="inlineStr">
        <is>
          <t>https://mmrda.maharashtra.gov.in/en/projects/transport/metro-line-2b/overview</t>
        </is>
      </c>
      <c r="E13" s="9" t="inlineStr">
        <is>
          <t>23.6 km Bandra–Kurla–Chembur corridor; western DN Nagar–Saraswat Nagar section targeted mid-2026</t>
        </is>
      </c>
      <c r="F13" s="9" t="inlineStr">
        <is>
          <t>Monthly/Quarterly</t>
        </is>
      </c>
      <c r="G13" s="9" t="inlineStr">
        <is>
          <t>High</t>
        </is>
      </c>
      <c r="H13" s="9" t="inlineStr">
        <is>
          <t>2026-08-14</t>
        </is>
      </c>
    </row>
    <row r="14">
      <c r="A14" s="11" t="inlineStr">
        <is>
          <t>SRC-010</t>
        </is>
      </c>
      <c r="B14" s="11" t="inlineStr">
        <is>
          <t>Infrastructure</t>
        </is>
      </c>
      <c r="C14" s="11" t="inlineStr">
        <is>
          <t>Navi Mumbai International Airport — operations</t>
        </is>
      </c>
      <c r="D14" s="11" t="inlineStr">
        <is>
          <t>https://navimumbai.adaniairports.com/en/flight-status</t>
        </is>
      </c>
      <c r="E14" s="11" t="inlineStr">
        <is>
          <t>Inaugurated 8 Oct 2025; domestic commercial ops 25 Dec 2025; 24x7 from Feb 2026; international ops launched 2026</t>
        </is>
      </c>
      <c r="F14" s="11" t="inlineStr">
        <is>
          <t>Monthly</t>
        </is>
      </c>
      <c r="G14" s="11" t="inlineStr">
        <is>
          <t>High</t>
        </is>
      </c>
      <c r="H14" s="11" t="inlineStr">
        <is>
          <t>2026-08-14</t>
        </is>
      </c>
    </row>
    <row r="15">
      <c r="A15" s="9" t="inlineStr">
        <is>
          <t>SRC-011</t>
        </is>
      </c>
      <c r="B15" s="9" t="inlineStr">
        <is>
          <t>Tax</t>
        </is>
      </c>
      <c r="C15" s="9" t="inlineStr">
        <is>
          <t>CBIC — GST Sectoral FAQs</t>
        </is>
      </c>
      <c r="D15" s="9" t="inlineStr">
        <is>
          <t>https://cbic-gst.gov.in/sectoral-faq.html</t>
        </is>
      </c>
      <c r="E15" s="9" t="inlineStr">
        <is>
          <t>General taxable-service GST registration threshold Rs 20 lakh, subject to statutory exceptions</t>
        </is>
      </c>
      <c r="F15" s="9" t="inlineStr">
        <is>
          <t>On rule change</t>
        </is>
      </c>
      <c r="G15" s="9" t="inlineStr">
        <is>
          <t>High</t>
        </is>
      </c>
      <c r="H15" s="9" t="inlineStr">
        <is>
          <t>2026-08-14</t>
        </is>
      </c>
    </row>
    <row r="16">
      <c r="A16" s="11" t="inlineStr">
        <is>
          <t>SRC-012</t>
        </is>
      </c>
      <c r="B16" s="11" t="inlineStr">
        <is>
          <t>Tax</t>
        </is>
      </c>
      <c r="C16" s="11" t="inlineStr">
        <is>
          <t>CBIC — GST Services Rates</t>
        </is>
      </c>
      <c r="D16" s="11" t="inlineStr">
        <is>
          <t>https://cbic-gst.gov.in/gst-goods-services-rates.html</t>
        </is>
      </c>
      <c r="E16" s="11" t="inlineStr">
        <is>
          <t>Heading 9972 residual real-estate services at 18%</t>
        </is>
      </c>
      <c r="F16" s="11" t="inlineStr">
        <is>
          <t>On rule change</t>
        </is>
      </c>
      <c r="G16" s="11" t="inlineStr">
        <is>
          <t>High</t>
        </is>
      </c>
      <c r="H16" s="11" t="inlineStr">
        <is>
          <t>2026-08-14</t>
        </is>
      </c>
    </row>
    <row r="17">
      <c r="A17" s="9" t="inlineStr">
        <is>
          <t>SRC-013</t>
        </is>
      </c>
      <c r="B17" s="9" t="inlineStr">
        <is>
          <t>Tax</t>
        </is>
      </c>
      <c r="C17" s="9" t="inlineStr">
        <is>
          <t>Maharashtra stamp duty &amp; registration — Mumbai 2026</t>
        </is>
      </c>
      <c r="D17" s="9" t="inlineStr">
        <is>
          <t>https://www.99acres.com/articles/stamp-duty-and-registration-charges-in-mumbai.html</t>
        </is>
      </c>
      <c r="E17" s="9" t="inlineStr">
        <is>
          <t>Mumbai stamp duty 6% male / 5% female (incl 1% metro cess); registration 1% capped Rs 30,000</t>
        </is>
      </c>
      <c r="F17" s="9" t="inlineStr">
        <is>
          <t>On rule change</t>
        </is>
      </c>
      <c r="G17" s="9" t="inlineStr">
        <is>
          <t>Medium</t>
        </is>
      </c>
      <c r="H17" s="9" t="inlineStr">
        <is>
          <t>2026-08-14</t>
        </is>
      </c>
    </row>
    <row r="18">
      <c r="A18" s="11" t="inlineStr">
        <is>
          <t>SRC-014</t>
        </is>
      </c>
      <c r="B18" s="11" t="inlineStr">
        <is>
          <t>Valuation</t>
        </is>
      </c>
      <c r="C18" s="11" t="inlineStr">
        <is>
          <t>Ready Reckoner rates FY2026-27 — freeze</t>
        </is>
      </c>
      <c r="D18" s="11" t="inlineStr">
        <is>
          <t>https://propertybutler.in/insights/ready-reckoner-rate-mumbai-2026-27-no-hike</t>
        </is>
      </c>
      <c r="E18" s="11" t="inlineStr">
        <is>
          <t>Maharashtra froze RR rates for FY2026-27; last revision 1 Apr 2025 (Mumbai +3.39%, Thane +7.72%, state avg ~3.9%)</t>
        </is>
      </c>
      <c r="F18" s="11" t="inlineStr">
        <is>
          <t>Annual (1 April)</t>
        </is>
      </c>
      <c r="G18" s="11" t="inlineStr">
        <is>
          <t>Medium</t>
        </is>
      </c>
      <c r="H18" s="11" t="inlineStr">
        <is>
          <t>2026-08-14</t>
        </is>
      </c>
    </row>
    <row r="19">
      <c r="A19" s="9" t="inlineStr">
        <is>
          <t>SRC-015</t>
        </is>
      </c>
      <c r="B19" s="9" t="inlineStr">
        <is>
          <t>Registration</t>
        </is>
      </c>
      <c r="C19" s="9" t="inlineStr">
        <is>
          <t>Department of Registration &amp; Stamps, Maharashtra (IGR)</t>
        </is>
      </c>
      <c r="D19" s="9" t="inlineStr">
        <is>
          <t>https://igrmaharashtra.gov.in/</t>
        </is>
      </c>
      <c r="E19" s="9" t="inlineStr">
        <is>
          <t>Registered transactions, Ready Reckoner, e-Search (free). Mumbai records from 1985; other districts from 2002. Results uncertified.</t>
        </is>
      </c>
      <c r="F19" s="9" t="inlineStr">
        <is>
          <t>Monthly/Annual</t>
        </is>
      </c>
      <c r="G19" s="9" t="inlineStr">
        <is>
          <t>High</t>
        </is>
      </c>
      <c r="H19" s="9" t="inlineStr">
        <is>
          <t>2026-08-14</t>
        </is>
      </c>
    </row>
    <row r="20">
      <c r="A20" s="11" t="inlineStr">
        <is>
          <t>SRC-016</t>
        </is>
      </c>
      <c r="B20" s="11" t="inlineStr">
        <is>
          <t>Projects</t>
        </is>
      </c>
      <c r="C20" s="11" t="inlineStr">
        <is>
          <t>MahaRERA — Registered Project Search</t>
        </is>
      </c>
      <c r="D20" s="11" t="inlineStr">
        <is>
          <t>https://maharera.maharashtra.gov.in/projects-search-result</t>
        </is>
      </c>
      <c r="E20" s="11" t="inlineStr">
        <is>
          <t>50,000+ registered projects; promoter, registration, status, quarterly progress reports</t>
        </is>
      </c>
      <c r="F20" s="11" t="inlineStr">
        <is>
          <t>Monthly</t>
        </is>
      </c>
      <c r="G20" s="11" t="inlineStr">
        <is>
          <t>High</t>
        </is>
      </c>
      <c r="H20" s="11" t="inlineStr">
        <is>
          <t>2026-08-14</t>
        </is>
      </c>
    </row>
    <row r="21">
      <c r="A21" s="9" t="inlineStr">
        <is>
          <t>SRC-017</t>
        </is>
      </c>
      <c r="B21" s="9" t="inlineStr">
        <is>
          <t>Regulation</t>
        </is>
      </c>
      <c r="C21" s="9" t="inlineStr">
        <is>
          <t>MahaRERA — QR code and advertisement disclosure order</t>
        </is>
      </c>
      <c r="D21" s="9" t="inlineStr">
        <is>
          <t>https://www.therealtytoday.com/news/maharera-makes-qr-code-registration-number-mandatory-in-ads-50000-penalty-for-violations</t>
        </is>
      </c>
      <c r="E21" s="9" t="inlineStr">
        <is>
          <t>QR code + registration number + website top-right of all ads; penalty Rs 10,000–50,000 per violation; 10-day cure</t>
        </is>
      </c>
      <c r="F21" s="9" t="inlineStr">
        <is>
          <t>On rule change</t>
        </is>
      </c>
      <c r="G21" s="9" t="inlineStr">
        <is>
          <t>Medium</t>
        </is>
      </c>
      <c r="H21" s="9" t="inlineStr">
        <is>
          <t>2026-08-14</t>
        </is>
      </c>
    </row>
    <row r="22">
      <c r="A22" s="11" t="inlineStr">
        <is>
          <t>SRC-018</t>
        </is>
      </c>
      <c r="B22" s="11" t="inlineStr">
        <is>
          <t>Regulation</t>
        </is>
      </c>
      <c r="C22" s="11" t="inlineStr">
        <is>
          <t>MahaRERA — agent half-yearly compliance reporting</t>
        </is>
      </c>
      <c r="D22" s="11" t="inlineStr">
        <is>
          <t>https://reraexam.com/insights/maharera-agent-certification-mandatory-training-reporting-2026</t>
        </is>
      </c>
      <c r="E22" s="11" t="inlineStr">
        <is>
          <t>Half-yearly report of facilitated projects; penalties for delay; possible suspension of registration</t>
        </is>
      </c>
      <c r="F22" s="11" t="inlineStr">
        <is>
          <t>On rule change</t>
        </is>
      </c>
      <c r="G22" s="11" t="inlineStr">
        <is>
          <t>Medium</t>
        </is>
      </c>
      <c r="H22" s="11" t="inlineStr">
        <is>
          <t>2026-08-14</t>
        </is>
      </c>
    </row>
    <row r="23">
      <c r="A23" s="9" t="inlineStr">
        <is>
          <t>SRC-019</t>
        </is>
      </c>
      <c r="B23" s="9" t="inlineStr">
        <is>
          <t>Market</t>
        </is>
      </c>
      <c r="C23" s="9" t="inlineStr">
        <is>
          <t>ANAROCK — MMR Q2 2026 launches and absorption</t>
        </is>
      </c>
      <c r="D23" s="9" t="inlineStr">
        <is>
          <t>https://businessnewsthisweek.com/business/mumbai-drives-65-percent-of-mmr-launches-70-plus-percent-of-sales-in-q2-2026/</t>
        </is>
      </c>
      <c r="E23" s="9" t="inlineStr">
        <is>
          <t>MMR Q2 2026 launches 34,550; Mumbai 65% of supply and 70%+ of absorption; Navi Mumbai launches 8,530 (+54%), sales 5,355 (-13%); Thane launches 3,665 (+26%), sales 3,145</t>
        </is>
      </c>
      <c r="F23" s="9" t="inlineStr">
        <is>
          <t>Quarterly</t>
        </is>
      </c>
      <c r="G23" s="9" t="inlineStr">
        <is>
          <t>Medium</t>
        </is>
      </c>
      <c r="H23" s="9" t="inlineStr">
        <is>
          <t>2026-08-14</t>
        </is>
      </c>
    </row>
    <row r="24">
      <c r="A24" s="11" t="inlineStr">
        <is>
          <t>SRC-020</t>
        </is>
      </c>
      <c r="B24" s="11" t="inlineStr">
        <is>
          <t>Market</t>
        </is>
      </c>
      <c r="C24" s="11" t="inlineStr">
        <is>
          <t>Mumbai redevelopment pipeline 2026</t>
        </is>
      </c>
      <c r="D24" s="11" t="inlineStr">
        <is>
          <t>https://www.business-standard.com/industry/news/mumbai-redevelopment-pipeline-may-unlock-rs-15-trillion-homes-by-2031-126061500562_1.html</t>
        </is>
      </c>
      <c r="E24" s="11" t="inlineStr">
        <is>
          <t>Q1 2026: 70 society redevelopment agreements over 52 acres; pipeline ~Rs 1.5 trillion / ~59,000 homes by 2031; avg plot 1,850 sqm (2025) to ~3,000 sqm (2026)</t>
        </is>
      </c>
      <c r="F24" s="11" t="inlineStr">
        <is>
          <t>Quarterly</t>
        </is>
      </c>
      <c r="G24" s="11" t="inlineStr">
        <is>
          <t>Medium</t>
        </is>
      </c>
      <c r="H24" s="11" t="inlineStr">
        <is>
          <t>2026-08-14</t>
        </is>
      </c>
    </row>
    <row r="25">
      <c r="A25" s="9" t="inlineStr">
        <is>
          <t>SRC-021</t>
        </is>
      </c>
      <c r="B25" s="9" t="inlineStr">
        <is>
          <t>Office</t>
        </is>
      </c>
      <c r="C25" s="9" t="inlineStr">
        <is>
          <t>Mumbai office market H1 2026</t>
        </is>
      </c>
      <c r="D25" s="9" t="inlineStr">
        <is>
          <t>https://www.business-standard.com/industry/news/india-s-office-mkt-posts-record-quarterly-leasing-on-gcc-flex-demand-cbre-126070600781_1.html</t>
        </is>
      </c>
      <c r="E25" s="9" t="inlineStr">
        <is>
          <t>Mumbai gross absorption ~6.0 mn sqft H1 2026; BFSI 1.6 mn; GCC leasing 1.2 mn sqft; vacancy ~15%; completions +80% led by Navi Mumbai, Powai, Thane</t>
        </is>
      </c>
      <c r="F25" s="9" t="inlineStr">
        <is>
          <t>Quarterly</t>
        </is>
      </c>
      <c r="G25" s="9" t="inlineStr">
        <is>
          <t>Medium</t>
        </is>
      </c>
      <c r="H25" s="9" t="inlineStr">
        <is>
          <t>2026-08-14</t>
        </is>
      </c>
    </row>
    <row r="26">
      <c r="A26" s="11" t="inlineStr">
        <is>
          <t>SRC-022</t>
        </is>
      </c>
      <c r="B26" s="11" t="inlineStr">
        <is>
          <t>Finance</t>
        </is>
      </c>
      <c r="C26" s="11" t="inlineStr">
        <is>
          <t>RBI policy repo rate and home loan pricing 2026</t>
        </is>
      </c>
      <c r="D26" s="11" t="inlineStr">
        <is>
          <t>https://www.corplawupdates.in/rbi/repo-rate</t>
        </is>
      </c>
      <c r="E26" s="11" t="inlineStr">
        <is>
          <t>Repo 5.25% (unchanged since 5 Dec 2025); 125 bps cut through 2025; home loans from ~7.10%, typical 7.65–8.50%</t>
        </is>
      </c>
      <c r="F26" s="11" t="inlineStr">
        <is>
          <t>Bi-monthly (MPC)</t>
        </is>
      </c>
      <c r="G26" s="11" t="inlineStr">
        <is>
          <t>Medium</t>
        </is>
      </c>
      <c r="H26" s="11" t="inlineStr">
        <is>
          <t>2026-08-14</t>
        </is>
      </c>
    </row>
    <row r="27">
      <c r="A27" s="9" t="inlineStr">
        <is>
          <t>SRC-023</t>
        </is>
      </c>
      <c r="B27" s="9" t="inlineStr">
        <is>
          <t>Data protection</t>
        </is>
      </c>
      <c r="C27" s="9" t="inlineStr">
        <is>
          <t>Digital Personal Data Protection Act 2023 + DPDP Rules 2025</t>
        </is>
      </c>
      <c r="D27" s="9" t="inlineStr">
        <is>
          <t>https://en.wikipedia.org/wiki/Digital_Personal_Data_Protection_Rules,_2025</t>
        </is>
      </c>
      <c r="E27" s="9" t="inlineStr">
        <is>
          <t>Rules notified 13 Nov 2025; ~18-month phase-in to ~mid-May 2027; no SME turnover exemption; penalties up to Rs 250 crore</t>
        </is>
      </c>
      <c r="F27" s="9" t="inlineStr">
        <is>
          <t>On rule change</t>
        </is>
      </c>
      <c r="G27" s="9" t="inlineStr">
        <is>
          <t>High</t>
        </is>
      </c>
      <c r="H27" s="9" t="inlineStr">
        <is>
          <t>2026-08-14</t>
        </is>
      </c>
    </row>
    <row r="28">
      <c r="A28" s="11" t="inlineStr">
        <is>
          <t>SRC-024</t>
        </is>
      </c>
      <c r="B28" s="11" t="inlineStr">
        <is>
          <t>Tax</t>
        </is>
      </c>
      <c r="C28" s="11" t="inlineStr">
        <is>
          <t>Income-tax TDS — sections 194-IA and 194H</t>
        </is>
      </c>
      <c r="D28" s="11" t="inlineStr">
        <is>
          <t>https://cleartax.in/s/section-194h-tds-on-commission-brokerage</t>
        </is>
      </c>
      <c r="E28" s="11" t="inlineStr">
        <is>
          <t>194-IA: 1% TDS on immovable property consideration &gt;= Rs 50 lakh (Form 26QB). 194H: 2% TDS on commission/brokerage above Rs 20,000 p.a.</t>
        </is>
      </c>
      <c r="F28" s="11" t="inlineStr">
        <is>
          <t>Annual (Finance Act)</t>
        </is>
      </c>
      <c r="G28" s="11" t="inlineStr">
        <is>
          <t>High</t>
        </is>
      </c>
      <c r="H28" s="11" t="inlineStr">
        <is>
          <t>2026-08-14</t>
        </is>
      </c>
    </row>
    <row r="29">
      <c r="A29" s="9" t="inlineStr">
        <is>
          <t>SRC-025</t>
        </is>
      </c>
      <c r="B29" s="9" t="inlineStr">
        <is>
          <t>Competition</t>
        </is>
      </c>
      <c r="C29" s="9" t="inlineStr">
        <is>
          <t>MahaRERA registered agents — Maharashtra count</t>
        </is>
      </c>
      <c r="D29" s="9" t="inlineStr">
        <is>
          <t>https://maharera.maharashtra.gov.in/agents-search-result</t>
        </is>
      </c>
      <c r="E29" s="9" t="inlineStr">
        <is>
          <t>~42,865 registered real-estate agents in Maharashtra as at March 2026</t>
        </is>
      </c>
      <c r="F29" s="9" t="inlineStr">
        <is>
          <t>Monthly</t>
        </is>
      </c>
      <c r="G29" s="9" t="inlineStr">
        <is>
          <t>Medium</t>
        </is>
      </c>
      <c r="H29" s="9" t="inlineStr">
        <is>
          <t>2026-08-14</t>
        </is>
      </c>
    </row>
    <row r="30">
      <c r="A30" s="11" t="inlineStr">
        <is>
          <t>SRC-026</t>
        </is>
      </c>
      <c r="B30" s="11" t="inlineStr">
        <is>
          <t>Competition</t>
        </is>
      </c>
      <c r="C30" s="11" t="inlineStr">
        <is>
          <t>India proptech market structure 2026</t>
        </is>
      </c>
      <c r="D30" s="11" t="inlineStr">
        <is>
          <t>https://www.imarcgroup.com/india-proptech-market</t>
        </is>
      </c>
      <c r="E30" s="11" t="inlineStr">
        <is>
          <t>Top-5 platforms ~45–50% of proptech revenue; India proptech USD 1.31bn (2025) to USD 3.82bn (2034), 12.26% CAGR; West India 33.2% share</t>
        </is>
      </c>
      <c r="F30" s="11" t="inlineStr">
        <is>
          <t>Annual</t>
        </is>
      </c>
      <c r="G30" s="11" t="inlineStr">
        <is>
          <t>Low</t>
        </is>
      </c>
      <c r="H30" s="11" t="inlineStr">
        <is>
          <t>2026-08-14</t>
        </is>
      </c>
    </row>
    <row r="31">
      <c r="A31" s="9" t="inlineStr">
        <is>
          <t>SRC-027</t>
        </is>
      </c>
      <c r="B31" s="9" t="inlineStr">
        <is>
          <t>Prices</t>
        </is>
      </c>
      <c r="C31" s="9" t="inlineStr">
        <is>
          <t>Portal asking-price aggregates — MMR micro-markets</t>
        </is>
      </c>
      <c r="D31" s="9" t="inlineStr">
        <is>
          <t>https://www.99acres.com/property-rates-and-price-trends-in-mumbai-prffid</t>
        </is>
      </c>
      <c r="E31" s="9" t="inlineStr">
        <is>
          <t>Asking price per sqft by locality. Basis usually saleable/built-up and unstated. Directional only.</t>
        </is>
      </c>
      <c r="F31" s="9" t="inlineStr">
        <is>
          <t>Weekly</t>
        </is>
      </c>
      <c r="G31" s="9" t="inlineStr">
        <is>
          <t>Low</t>
        </is>
      </c>
      <c r="H31" s="9" t="inlineStr">
        <is>
          <t>2026-08-14</t>
        </is>
      </c>
    </row>
    <row r="32">
      <c r="A32" s="11" t="inlineStr">
        <is>
          <t>SRC-028</t>
        </is>
      </c>
      <c r="B32" s="11" t="inlineStr">
        <is>
          <t>Rental</t>
        </is>
      </c>
      <c r="C32" s="11" t="inlineStr">
        <is>
          <t>MMR rental yield and rent growth 2026</t>
        </is>
      </c>
      <c r="D32" s="11" t="inlineStr">
        <is>
          <t>https://www.sobha.com/blog/rental-yield-in-mumbai-best-areas-for-investment/</t>
        </is>
      </c>
      <c r="E32" s="11" t="inlineStr">
        <is>
          <t>Rents +5–6% YoY, +1–2% QoQ Q1 2026; prime Mumbai yields 2–4%; Thane/Navi Mumbai 4–7%; Thane avg rent ~Rs 35,635</t>
        </is>
      </c>
      <c r="F32" s="11" t="inlineStr">
        <is>
          <t>Quarterly</t>
        </is>
      </c>
      <c r="G32" s="11" t="inlineStr">
        <is>
          <t>Low</t>
        </is>
      </c>
      <c r="H32" s="11" t="inlineStr">
        <is>
          <t>2026-08-14</t>
        </is>
      </c>
    </row>
    <row r="33">
      <c r="A33" s="9" t="inlineStr">
        <is>
          <t>SRC-029</t>
        </is>
      </c>
      <c r="B33" s="9" t="inlineStr">
        <is>
          <t>Infrastructure</t>
        </is>
      </c>
      <c r="C33" s="9" t="inlineStr">
        <is>
          <t>MMR road &amp; corridor programme 2026</t>
        </is>
      </c>
      <c r="D33" s="9" t="inlineStr">
        <is>
          <t>https://www.blackridgeresearch.com/project-profiles/virar-alibaug-multimodal-corridor-route-map-cost-current-status-latest-news</t>
        </is>
      </c>
      <c r="E33" s="9" t="inlineStr">
        <is>
          <t>Virar–Alibaug Multimodal Corridor 126 km / 14 lanes (MSRDC); Coastal Road Phase 2 Bandra–Kandivali ~19 km targeted May 2026; Thane–Borivali twin tunnel milestone Dec 2025</t>
        </is>
      </c>
      <c r="F33" s="9" t="inlineStr">
        <is>
          <t>Quarterly</t>
        </is>
      </c>
      <c r="G33" s="9" t="inlineStr">
        <is>
          <t>Medium</t>
        </is>
      </c>
      <c r="H33" s="9" t="inlineStr">
        <is>
          <t>2026-08-14</t>
        </is>
      </c>
    </row>
    <row r="34">
      <c r="A34" s="11" t="inlineStr">
        <is>
          <t>SRC-030</t>
        </is>
      </c>
      <c r="B34" s="11" t="inlineStr">
        <is>
          <t>Legal</t>
        </is>
      </c>
      <c r="C34" s="11" t="inlineStr">
        <is>
          <t>Data scraping and terms-of-use position in India</t>
        </is>
      </c>
      <c r="D34" s="11" t="inlineStr">
        <is>
          <t>https://spiceroutelegal.com/publications/legality-of-data-scraping-under-indian-law/</t>
        </is>
      </c>
      <c r="E34" s="11" t="inlineStr">
        <is>
          <t>Website terms enforceable as contract; DPDPA consent obligations extend to publicly available personal data; IT Act unauthorised-access exposure</t>
        </is>
      </c>
      <c r="F34" s="11" t="inlineStr">
        <is>
          <t>On rule change</t>
        </is>
      </c>
      <c r="G34" s="11" t="inlineStr">
        <is>
          <t>Medium</t>
        </is>
      </c>
      <c r="H34" s="11" t="inlineStr">
        <is>
          <t>2026-08-14</t>
        </is>
      </c>
    </row>
    <row r="35">
      <c r="A35" s="9" t="inlineStr">
        <is>
          <t>SRC-031</t>
        </is>
      </c>
      <c r="B35" s="9" t="inlineStr">
        <is>
          <t>Entity</t>
        </is>
      </c>
      <c r="C35" s="9" t="inlineStr">
        <is>
          <t>Business structure comparison India FY2026-27</t>
        </is>
      </c>
      <c r="D35" s="9" t="inlineStr">
        <is>
          <t>https://tradebrains.in/brand/proprietorship-vs-llp-vs-private-limited-which-is-best-in-2026/</t>
        </is>
      </c>
      <c r="E35" s="9" t="inlineStr">
        <is>
          <t>Proprietorship ~nil setup, slab tax; LLP Rs 6,000–15,000 setup, 31.2% effective, audit above Rs 40L turnover; Pvt Ltd 25.17% under 115BAA</t>
        </is>
      </c>
      <c r="F35" s="9" t="inlineStr">
        <is>
          <t>Annual</t>
        </is>
      </c>
      <c r="G35" s="9" t="inlineStr">
        <is>
          <t>Low</t>
        </is>
      </c>
      <c r="H35" s="9" t="inlineStr">
        <is>
          <t>2026-08-14</t>
        </is>
      </c>
    </row>
    <row r="36">
      <c r="A36" s="11" t="inlineStr">
        <is>
          <t>SRC-032</t>
        </is>
      </c>
      <c r="B36" s="11" t="inlineStr">
        <is>
          <t>Market</t>
        </is>
      </c>
      <c r="C36" s="11" t="inlineStr">
        <is>
          <t>Knight Frank — India H1 2026 unsold inventory across markets</t>
        </is>
      </c>
      <c r="D36" s="11" t="inlineStr">
        <is>
          <t>https://www.tribuneindia.com/news/business/unsold-housing-inventory-rises-4-yoy-to-over-5-25-lakh-units-in-h1-2026-knight-frank/</t>
        </is>
      </c>
      <c r="E36" s="11" t="inlineStr">
        <is>
          <t>Top-8 unsold inventory 525,695 units (+4% YoY); Mumbai 157,410; NCR 103,984; Bengaluru 74,299; homes above Rs 1 cr = 54% of sales (49% in H1 2025)</t>
        </is>
      </c>
      <c r="F36" s="11" t="inlineStr">
        <is>
          <t>Half-yearly</t>
        </is>
      </c>
      <c r="G36" s="11" t="inlineStr">
        <is>
          <t>High</t>
        </is>
      </c>
      <c r="H36" s="11" t="inlineStr">
        <is>
          <t>2026-08-14</t>
        </is>
      </c>
    </row>
    <row r="37">
      <c r="A37" s="9" t="inlineStr">
        <is>
          <t>SRC-033</t>
        </is>
      </c>
      <c r="B37" s="9" t="inlineStr">
        <is>
          <t>Transactions</t>
        </is>
      </c>
      <c r="C37" s="9" t="inlineStr">
        <is>
          <t>Knight Frank — Mumbai registrations by apartment size</t>
        </is>
      </c>
      <c r="D37" s="9" t="inlineStr">
        <is>
          <t>https://www.business-standard.com/industry/news/mumbai-property-registrations-feb-2026-best-in-14-years-126030100376_1.html</t>
        </is>
      </c>
      <c r="E37" s="9" t="inlineStr">
        <is>
          <t>Apartments up to 1,000 sqft ~81% of registrations; 500–1,000 sqft band ~45% (Feb 2026 reading)</t>
        </is>
      </c>
      <c r="F37" s="9" t="inlineStr">
        <is>
          <t>Monthly</t>
        </is>
      </c>
      <c r="G37" s="9" t="inlineStr">
        <is>
          <t>Medium</t>
        </is>
      </c>
      <c r="H37" s="9" t="inlineStr">
        <is>
          <t>2026-08-14</t>
        </is>
      </c>
    </row>
  </sheetData>
  <mergeCells count="1">
    <mergeCell ref="A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62" customWidth="1" min="3" max="3"/>
    <col width="62" customWidth="1" min="4" max="4"/>
    <col width="14" customWidth="1" min="5" max="5"/>
  </cols>
  <sheetData>
    <row r="1" ht="22" customHeight="1">
      <c r="A1" s="6" t="inlineStr">
        <is>
          <t>What changed from version 1</t>
        </is>
      </c>
    </row>
    <row r="2" ht="30" customHeight="1">
      <c r="A2" s="7" t="inlineStr">
        <is>
          <t>Fourteen substantive corrections. Three are regulatory changes that post-date the original research; the rest are analytical errors, internal contradictions or material omissions.</t>
        </is>
      </c>
    </row>
    <row r="4" ht="26" customHeight="1">
      <c r="A4" s="8" t="inlineStr">
        <is>
          <t>Area</t>
        </is>
      </c>
      <c r="B4" s="8" t="inlineStr">
        <is>
          <t>Version 1 position</t>
        </is>
      </c>
      <c r="C4" s="8" t="inlineStr">
        <is>
          <t>Version 2 position</t>
        </is>
      </c>
      <c r="D4" s="8" t="inlineStr">
        <is>
          <t>Why it matters</t>
        </is>
      </c>
      <c r="E4" s="8" t="inlineStr">
        <is>
          <t>Source</t>
        </is>
      </c>
    </row>
    <row r="5">
      <c r="A5" s="9" t="inlineStr">
        <is>
          <t>Certificate of Competency</t>
        </is>
      </c>
      <c r="B5" s="9" t="inlineStr">
        <is>
          <t>Certification described as a capacity-building programme agents 'should' complete.</t>
        </is>
      </c>
      <c r="C5" s="9" t="inlineStr">
        <is>
          <t>Mandatory from January 2026. Registration and renewal are gated on it. It is a 20-hour programme plus exam through NAREDCO, REMI or RAGC and takes real calendar time.</t>
        </is>
      </c>
      <c r="D5" s="9" t="inlineStr">
        <is>
          <t>This is now the critical path for the entire venture. Week-1 booking is non-negotiable; no compliant revenue exists before it is issued.</t>
        </is>
      </c>
      <c r="E5" s="9" t="inlineStr">
        <is>
          <t>SRC-002</t>
        </is>
      </c>
    </row>
    <row r="6">
      <c r="A6" s="11" t="inlineStr">
        <is>
          <t>Advertising compliance</t>
        </is>
      </c>
      <c r="B6" s="11" t="inlineStr">
        <is>
          <t>Not addressed.</t>
        </is>
      </c>
      <c r="C6" s="11" t="inlineStr">
        <is>
          <t>QR code, MahaRERA number and website must appear top-right on every advertisement, at a font size at least as large as the largest contact detail. Rs 10,000–50,000 per violation.</t>
        </is>
      </c>
      <c r="D6" s="11" t="inlineStr">
        <is>
          <t>Every WhatsApp brief, listing and social post in the lead engine is an advertisement. The lead engine cannot launch before the artwork template exists.</t>
        </is>
      </c>
      <c r="E6" s="11" t="inlineStr">
        <is>
          <t>SRC-017</t>
        </is>
      </c>
    </row>
    <row r="7">
      <c r="A7" s="9" t="inlineStr">
        <is>
          <t>Half-yearly reporting</t>
        </is>
      </c>
      <c r="B7" s="9" t="inlineStr">
        <is>
          <t>Not addressed.</t>
        </is>
      </c>
      <c r="C7" s="9" t="inlineStr">
        <is>
          <t>Registered agents must file a half-yearly report of facilitated projects. Delay attracts penalty and possible suspension.</t>
        </is>
      </c>
      <c r="D7" s="9" t="inlineStr">
        <is>
          <t>A recurring compliance obligation that must be designed into the record-keeping schema from week 1, not retrofitted at month 6.</t>
        </is>
      </c>
      <c r="E7" s="9" t="inlineStr">
        <is>
          <t>SRC-018</t>
        </is>
      </c>
    </row>
    <row r="8">
      <c r="A8" s="11" t="inlineStr">
        <is>
          <t>DPDP Act</t>
        </is>
      </c>
      <c r="B8" s="11" t="inlineStr">
        <is>
          <t>Mentioned only as 'KYC/privacy/consent workflow'.</t>
        </is>
      </c>
      <c r="C8" s="11" t="inlineStr">
        <is>
          <t>DPDP Rules were notified 13 Nov 2025 with phase-in to approximately mid-May 2027. There is no small-business exemption. Notice, consent, purpose limitation, retention and breach notification all apply to a one-person brokerage.</t>
        </is>
      </c>
      <c r="D8" s="11" t="inlineStr">
        <is>
          <t>Lead and KYC data is the core operating asset. Building the consent layer later means re-collecting consent across the entire client base.</t>
        </is>
      </c>
      <c r="E8" s="11" t="inlineStr">
        <is>
          <t>SRC-023</t>
        </is>
      </c>
    </row>
    <row r="9">
      <c r="A9" s="9" t="inlineStr">
        <is>
          <t>Unsold inventory direction</t>
        </is>
      </c>
      <c r="B9" s="9" t="inlineStr">
        <is>
          <t>Workbook note read 'reported down 4% in cited coverage'.</t>
        </is>
      </c>
      <c r="C9" s="9" t="inlineStr">
        <is>
          <t>Top-8 unsold inventory rose 4% YoY to 525,695 units. Mumbai holds the largest pool at 157,410.</t>
        </is>
      </c>
      <c r="D9" s="9" t="inlineStr">
        <is>
          <t>The direction was inverted. Rising inventory strengthens the selection-and-negotiability thesis rather than weakening it — but it must be stated correctly.</t>
        </is>
      </c>
      <c r="E9" s="9" t="inlineStr">
        <is>
          <t>SRC-032</t>
        </is>
      </c>
    </row>
    <row r="10">
      <c r="A10" s="11" t="inlineStr">
        <is>
          <t>Absorption metrics missing</t>
        </is>
      </c>
      <c r="B10" s="11" t="inlineStr">
        <is>
          <t>Sales, launches and inventory given as absolute counts only.</t>
        </is>
      </c>
      <c r="C10" s="11" t="inlineStr">
        <is>
          <t>Mumbai QTS is 6.5 quarters and age of unsold inventory is 13.5 quarters, improved from 14.3.</t>
        </is>
      </c>
      <c r="D10" s="11" t="inlineStr">
        <is>
          <t>Absolute counts do not tell you whether a market is sellable. QTS and inventory age are the metrics that price negotiability, and they are the ones a client will ask about.</t>
        </is>
      </c>
      <c r="E10" s="11" t="inlineStr">
        <is>
          <t>SRC-004</t>
        </is>
      </c>
    </row>
    <row r="11">
      <c r="A11" s="9" t="inlineStr">
        <is>
          <t>Infrastructure status</t>
        </is>
      </c>
      <c r="B11" s="9" t="inlineStr">
        <is>
          <t>Metro Line 6 at 79.63% and NMIA 'operational live flight status' were the only two infrastructure facts carried.</t>
        </is>
      </c>
      <c r="C11" s="9" t="inlineStr">
        <is>
          <t>Metro Line 3 is fully commissioned (Oct 2025). NMIA runs 24x7 with international services. Metro 2B, 4/4A and 6 are all in 2026 commissioning windows. Coastal Road Phase 2, the Thane–Borivali tunnel, Metro 8 and the Virar–Alibaug corridor sit further out.</t>
        </is>
      </c>
      <c r="D11" s="9" t="inlineStr">
        <is>
          <t>Scoring a corridor on an announced asset and an operational asset identically is the most common analytical error in Indian real-estate research. The status ladder now carries a weight multiplier so operational assets dominate.</t>
        </is>
      </c>
      <c r="E11" s="9" t="inlineStr">
        <is>
          <t>SRC-007,SRC-008,SRC-009,SRC-010,SRC-029</t>
        </is>
      </c>
    </row>
    <row r="12">
      <c r="A12" s="11" t="inlineStr">
        <is>
          <t>Ready Reckoner rates</t>
        </is>
      </c>
      <c r="B12" s="11" t="inlineStr">
        <is>
          <t>Listed as an annual refresh with no current reading.</t>
        </is>
      </c>
      <c r="C12" s="11" t="inlineStr">
        <is>
          <t>Maharashtra froze RR rates for FY2026-27. The last revision was 1 April 2025 (Mumbai +3.39%).</t>
        </is>
      </c>
      <c r="D12" s="11" t="inlineStr">
        <is>
          <t>RR is the floor under stamp duty and a live negotiation input. A frozen year is itself a material fact for any client comparing the cost of transacting now versus later.</t>
        </is>
      </c>
      <c r="E12" s="11" t="inlineStr">
        <is>
          <t>SRC-014</t>
        </is>
      </c>
    </row>
    <row r="13">
      <c r="A13" s="9" t="inlineStr">
        <is>
          <t>Transaction cost stack</t>
        </is>
      </c>
      <c r="B13" s="9" t="inlineStr">
        <is>
          <t>Referred to generally as 'transaction costs'.</t>
        </is>
      </c>
      <c r="C13" s="9" t="inlineStr">
        <is>
          <t>Mumbai: 6% stamp duty for male buyers, 5% for female sole owners (both include 1% metro cess), plus 1% registration capped at Rs 30,000, plus 1% TDS under 194-IA above Rs 50 lakh. The 15-year resale lock-in on the women's concession was removed in 2026.</t>
        </is>
      </c>
      <c r="D13" s="9" t="inlineStr">
        <is>
          <t>This is 7–8% of consideration. It belongs in every affordability calculation and is one of the highest-value things an advisor can get right on day one.</t>
        </is>
      </c>
      <c r="E13" s="9" t="inlineStr">
        <is>
          <t>SRC-013,SRC-024</t>
        </is>
      </c>
    </row>
    <row r="14">
      <c r="A14" s="11" t="inlineStr">
        <is>
          <t>Priority model weights and scores</t>
        </is>
      </c>
      <c r="B14" s="11" t="inlineStr">
        <is>
          <t>Weights summed correctly but the workbook and CSV disagreed with each other and with the PDF narrative (Eastern/Central appeared as both rank 1 and rank 2; scores differed in the second decimal between artefacts).</t>
        </is>
      </c>
      <c r="C14" s="11" t="inlineStr">
        <is>
          <t>A single weight vector and score table now live in one file and generate every artefact. Execution simplicity is up-weighted from 0.09 to 0.14 and competitive whitespace scores are re-based against the 42,865 registered agents in Maharashtra.</t>
        </is>
      </c>
      <c r="D14" s="11" t="inlineStr">
        <is>
          <t>Three artefacts disagreeing on the headline recommendation destroys the credibility of the whole system. One source, one number, everywhere.</t>
        </is>
      </c>
      <c r="E14" s="11" t="inlineStr">
        <is>
          <t>SRC-025</t>
        </is>
      </c>
    </row>
    <row r="15">
      <c r="A15" s="9" t="inlineStr">
        <is>
          <t>Recommended entry corridor</t>
        </is>
      </c>
      <c r="B15" s="9" t="inlineStr">
        <is>
          <t>Narrative recommended the Eastern/Central corridor while the model ranked Navi Mumbai first — the contradiction was acknowledged but not resolved.</t>
        </is>
      </c>
      <c r="C15" s="9" t="inlineStr">
        <is>
          <t>Eastern/Central ranks first on the corrected model (8.00) and the narrative agrees with it. Thane is second (7.68) because it is contiguous with the pilot belt and Metro 4 links them. Navi Mumbai and the Western Suburbs tie on 7.48; the tie is broken toward Navi Mumbai on competitive whitespace, and the tie is shown rather than hidden.</t>
        </is>
      </c>
      <c r="D15" s="9" t="inlineStr">
        <is>
          <t>The model and the recommendation must agree, or one of them is decoration. Where the model genuinely cannot separate two options, saying so is more useful than inventing a third decimal.</t>
        </is>
      </c>
      <c r="E15" s="9" t="inlineStr">
        <is>
          <t>model</t>
        </is>
      </c>
    </row>
    <row r="16">
      <c r="A16" s="11" t="inlineStr">
        <is>
          <t>Yield mechanics in the workbook</t>
        </is>
      </c>
      <c r="B16" s="11" t="inlineStr">
        <is>
          <t>Locality scorecard used a 650 sqft carpet placeholder against a Rs 75,000 rent, producing gross yields of 4.2–5.8% for Powai.</t>
        </is>
      </c>
      <c r="C16" s="11" t="inlineStr">
        <is>
          <t>Portal and market evidence puts prime Eastern-corridor gross yields at roughly 2.5–3.5%, and 3.4–4.8% in Thane and Navi Mumbai.</t>
        </is>
      </c>
      <c r="D16" s="11" t="inlineStr">
        <is>
          <t>A yield figure inflated by around 40% would mislead an investor client on the very first screen. Placeholders must be labelled and must sit inside a plausible band.</t>
        </is>
      </c>
      <c r="E16" s="11" t="inlineStr">
        <is>
          <t>SRC-028</t>
        </is>
      </c>
    </row>
    <row r="17">
      <c r="A17" s="9" t="inlineStr">
        <is>
          <t>Revenue model detail</t>
        </is>
      </c>
      <c r="B17" s="9" t="inlineStr">
        <is>
          <t>'Brokerage/advisory first' with no rate, mix, lag or tax treatment.</t>
        </is>
      </c>
      <c r="C17" s="9" t="inlineStr">
        <is>
          <t>Commission conventions, a segment mix, payout lags, 18% GST and 2% TDS under 194H are now modelled explicitly, with a funnel in three scenarios and a runway curve.</t>
        </is>
      </c>
      <c r="D17" s="9" t="inlineStr">
        <is>
          <t>Without a cash model, 'revenue-first' is a slogan. The runway curve is what tells the founder how much capital the plan actually needs.</t>
        </is>
      </c>
      <c r="E17" s="9" t="inlineStr">
        <is>
          <t>SRC-012,SRC-024</t>
        </is>
      </c>
    </row>
    <row r="18">
      <c r="A18" s="11" t="inlineStr">
        <is>
          <t>Workload allocation</t>
        </is>
      </c>
      <c r="B18" s="11" t="inlineStr">
        <is>
          <t>One chart of Year-1 effort shares.</t>
        </is>
      </c>
      <c r="C18" s="11" t="inlineStr">
        <is>
          <t>A 55-hour weekly capacity budget allocated across six workstreams for twelve months, plus a week-by-week 90-day plan with hours attached to every line.</t>
        </is>
      </c>
      <c r="D18" s="11" t="inlineStr">
        <is>
          <t>'Divide the work' means naming the hours. A plan that does not fit inside a week is not a plan.</t>
        </is>
      </c>
      <c r="E18" s="11" t="inlineStr">
        <is>
          <t>model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2026-08-14T21:34:58Z</dcterms:created>
  <dcterms:modified xsi:type="dcterms:W3CDTF">2026-08-14T21:34:58Z</dcterms:modified>
</cp:coreProperties>
</file>